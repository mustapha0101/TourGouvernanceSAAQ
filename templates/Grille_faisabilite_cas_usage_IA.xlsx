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investquebec-my.sharepoint.com/personal/mehdi_loukil_invest-quebec_com/Documents/Documents/Cotravail/Tasks/questionnaire-d-évaluation-faisabilité-2026-06-25/output/"/>
    </mc:Choice>
  </mc:AlternateContent>
  <xr:revisionPtr revIDLastSave="832" documentId="11_E9375E1D42B2CF2F5DC71E58419D14F7671C0F52" xr6:coauthVersionLast="47" xr6:coauthVersionMax="47" xr10:uidLastSave="{A8E76F50-1256-45F1-93B7-BDC8FFC187A7}"/>
  <bookViews>
    <workbookView minimized="1" xWindow="1470" yWindow="1470" windowWidth="14400" windowHeight="8210" tabRatio="500" firstSheet="1" activeTab="1" xr2:uid="{00000000-000D-0000-FFFF-FFFF00000000}"/>
  </bookViews>
  <sheets>
    <sheet name="Grille d'évaluation" sheetId="1" state="hidden" r:id="rId1"/>
    <sheet name="Grille DD" sheetId="2" r:id="rId2"/>
    <sheet name="Balis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F19" i="2" s="1"/>
  <c r="D10" i="2"/>
  <c r="E23" i="2"/>
  <c r="F23" i="2" s="1"/>
  <c r="E22" i="2"/>
  <c r="F22" i="2" s="1"/>
  <c r="E21" i="2"/>
  <c r="F21" i="2" s="1"/>
  <c r="E20" i="2"/>
  <c r="F20" i="2" s="1"/>
  <c r="E18" i="2"/>
  <c r="F18" i="2" s="1"/>
  <c r="F54" i="2"/>
  <c r="E59" i="2"/>
  <c r="F59" i="2" s="1"/>
  <c r="E58" i="2"/>
  <c r="F58" i="2" s="1"/>
  <c r="E51" i="2"/>
  <c r="F51" i="2" s="1"/>
  <c r="E50" i="2"/>
  <c r="F50" i="2" s="1"/>
  <c r="E44" i="2"/>
  <c r="F44" i="2" s="1"/>
  <c r="E43" i="2"/>
  <c r="F43" i="2" s="1"/>
  <c r="E36" i="2"/>
  <c r="F36" i="2" s="1"/>
  <c r="E35" i="2"/>
  <c r="F35" i="2" s="1"/>
  <c r="E28" i="2"/>
  <c r="F28" i="2" s="1"/>
  <c r="E27" i="2"/>
  <c r="F27" i="2" s="1"/>
  <c r="E61" i="2"/>
  <c r="F61" i="2" s="1"/>
  <c r="E60" i="2"/>
  <c r="F60" i="2" s="1"/>
  <c r="E54" i="2"/>
  <c r="E53" i="2"/>
  <c r="F53" i="2" s="1"/>
  <c r="E52" i="2"/>
  <c r="F52" i="2" s="1"/>
  <c r="E46" i="2"/>
  <c r="F46" i="2" s="1"/>
  <c r="E45" i="2"/>
  <c r="F45" i="2" s="1"/>
  <c r="E39" i="2"/>
  <c r="F39" i="2" s="1"/>
  <c r="E38" i="2"/>
  <c r="F38" i="2" s="1"/>
  <c r="E37" i="2"/>
  <c r="F37" i="2" s="1"/>
  <c r="E31" i="2"/>
  <c r="F31" i="2" s="1"/>
  <c r="E30" i="2"/>
  <c r="F30" i="2" s="1"/>
  <c r="E29" i="2"/>
  <c r="F29" i="2" s="1"/>
  <c r="C62" i="2"/>
  <c r="C55" i="2"/>
  <c r="C47" i="2"/>
  <c r="C40" i="2"/>
  <c r="C32" i="2"/>
  <c r="A27" i="2"/>
  <c r="A28" i="2" s="1"/>
  <c r="A29" i="2" s="1"/>
  <c r="A30" i="2" s="1"/>
  <c r="A31" i="2" s="1"/>
  <c r="C24" i="2"/>
  <c r="D55" i="2"/>
  <c r="D40" i="2"/>
  <c r="D47" i="2"/>
  <c r="D32" i="2"/>
  <c r="D24" i="2"/>
  <c r="F55" i="2"/>
  <c r="F47" i="2"/>
  <c r="F40" i="2"/>
  <c r="F32" i="2"/>
  <c r="F24" i="2"/>
  <c r="E24" i="2"/>
  <c r="E32" i="2"/>
  <c r="E55" i="2"/>
  <c r="E47" i="2"/>
  <c r="E40" i="2"/>
  <c r="F62" i="2"/>
  <c r="E62" i="2"/>
  <c r="H63" i="2" l="1"/>
  <c r="G63" i="2" s="1"/>
  <c r="E2" i="2"/>
  <c r="C12" i="2" s="1"/>
  <c r="A35" i="2"/>
  <c r="C61" i="1"/>
  <c r="C54" i="1"/>
  <c r="C46" i="1"/>
  <c r="C39" i="1"/>
  <c r="C31" i="1"/>
  <c r="C23" i="1"/>
  <c r="C10" i="1"/>
  <c r="C11" i="1" s="1"/>
  <c r="F2" i="1"/>
  <c r="C12" i="1" s="1"/>
  <c r="F63" i="2" l="1"/>
  <c r="C10" i="2"/>
  <c r="C11" i="2" s="1"/>
  <c r="A36" i="2"/>
  <c r="A37" i="2" s="1"/>
  <c r="A38" i="2" s="1"/>
  <c r="A39" i="2" s="1"/>
  <c r="A43" i="2" l="1"/>
  <c r="A44" i="2" s="1"/>
  <c r="A45" i="2" s="1"/>
  <c r="A46" i="2" s="1"/>
  <c r="A50" i="2" l="1"/>
  <c r="A51" i="2" s="1"/>
  <c r="A52" i="2" l="1"/>
  <c r="A53" i="2" s="1"/>
  <c r="A54" i="2" s="1"/>
  <c r="A58" i="2" l="1"/>
  <c r="A59" i="2" s="1"/>
  <c r="A60" i="2" s="1"/>
  <c r="A61" i="2" s="1"/>
</calcChain>
</file>

<file path=xl/sharedStrings.xml><?xml version="1.0" encoding="utf-8"?>
<sst xmlns="http://schemas.openxmlformats.org/spreadsheetml/2006/main" count="286" uniqueCount="231">
  <si>
    <t>GRILLE D'ÉVALUATION — FAISABILITÉ D'UN CAS D'USAGE IA</t>
  </si>
  <si>
    <t>Investissement Québec — Analyse de l'intervention</t>
  </si>
  <si>
    <t>Cas d'usage évalué :</t>
  </si>
  <si>
    <t>Demandeur / direction :</t>
  </si>
  <si>
    <t>Date :</t>
  </si>
  <si>
    <t>Évaluateur :</t>
  </si>
  <si>
    <t>SOMMAIRE / RÉSULTAT</t>
  </si>
  <si>
    <t>Score total</t>
  </si>
  <si>
    <t>/ 112</t>
  </si>
  <si>
    <t>Pourcentage</t>
  </si>
  <si>
    <t>Recommandation</t>
  </si>
  <si>
    <t>Mode d'emploi : notez chaque question de 0 à 4 dans la colonne « Score ». 0 = non / inexistant · 1 = faible · 2 = partiel · 3 = bon · 4 = oui / optimal. Les sous-totaux, le total et la recommandation se calculent automatiquement.</t>
  </si>
  <si>
    <t>#</t>
  </si>
  <si>
    <t>Question</t>
  </si>
  <si>
    <t>Score
(0-4)</t>
  </si>
  <si>
    <t>Max</t>
  </si>
  <si>
    <t>Axe 1 — Valeur d'affaires et alignement stratégique</t>
  </si>
  <si>
    <t>Le problème à résoudre est-il clairement défini et documenté ?</t>
  </si>
  <si>
    <t>Le cas d'usage répond-il à un irritant réel (temps, coût, qualité, conformité) ?</t>
  </si>
  <si>
    <t>La valeur attendue est-elle quantifiable (heures économisées, $, délais, taux d'erreur) ?</t>
  </si>
  <si>
    <t>Le cas d'usage s'aligne-t-il avec les priorités de la direction / d'IQ ?</t>
  </si>
  <si>
    <t>Existe-t-il un sponsor d'affaires identifié et engagé ?</t>
  </si>
  <si>
    <t>Sous-total — Axe 1</t>
  </si>
  <si>
    <t>Axe 2 — Données disponibles et qualité</t>
  </si>
  <si>
    <t>Les données nécessaires existent-elles et sont-elles accessibles ?</t>
  </si>
  <si>
    <t>La qualité des données est-elle suffisante (complétude, fraîcheur, exactitude) ?</t>
  </si>
  <si>
    <t>Le volume de données est-il suffisant pour un résultat fiable ?</t>
  </si>
  <si>
    <t>Les données sont-elles structurées / exploitables sans retraitement majeur ?</t>
  </si>
  <si>
    <t>Les droits d'utilisation des données sont-ils clairs (propriété, consentement) ?</t>
  </si>
  <si>
    <t>Sous-total — Axe 2</t>
  </si>
  <si>
    <t>Axe 3 — Faisabilité technique</t>
  </si>
  <si>
    <t>La tâche est-elle adaptée aux capacités de l'IA (génération, classification, extraction, synthèse) ?</t>
  </si>
  <si>
    <t>Une solution existe-t-elle déjà (Copilot, outil interne, fournisseur) plutôt qu'à développer ?</t>
  </si>
  <si>
    <t>L'intégration aux systèmes existants est-elle réaliste ?</t>
  </si>
  <si>
    <t>Le niveau de précision atteignable est-il acceptable pour l'usage visé ?</t>
  </si>
  <si>
    <t>Une preuve de concept est-elle réalisable rapidement (quelques semaines) ?</t>
  </si>
  <si>
    <t>Sous-total — Axe 3</t>
  </si>
  <si>
    <t>Axe 4 — Effort, coût et ressources</t>
  </si>
  <si>
    <t>L'effort de mise en œuvre est-il proportionné à la valeur attendue ?</t>
  </si>
  <si>
    <t>Les compétences requises sont-elles disponibles à l'interne ?</t>
  </si>
  <si>
    <t>Les coûts (licences, infrastructure, maintenance) sont-ils connus et soutenables ?</t>
  </si>
  <si>
    <t>Le cas d'usage est-il reproductible / réutilisable pour d'autres équipes ?</t>
  </si>
  <si>
    <t>Sous-total — Axe 4</t>
  </si>
  <si>
    <t>Axe 5 — Risques, conformité et éthique</t>
  </si>
  <si>
    <t>Le traitement respecte-t-il la protection des renseignements personnels (Loi 25) ?</t>
  </si>
  <si>
    <t>Les risques de biais ou d'erreur ont-ils été identifiés et sont-ils gérables ?</t>
  </si>
  <si>
    <t>Un humain garde-t-il le contrôle sur les décisions importantes (human-in-the-loop) ?</t>
  </si>
  <si>
    <t>La traçabilité et l'auditabilité des résultats sont-elles assurées ?</t>
  </si>
  <si>
    <t>Le cas d'usage respecte-t-il les politiques de sécurité et de gouvernance IA d'IQ ?</t>
  </si>
  <si>
    <t>Sous-total — Axe 5</t>
  </si>
  <si>
    <t>Axe 6 — Adoption et conduite du changement</t>
  </si>
  <si>
    <t>Les utilisateurs finaux sont-ils prêts / favorables à l'outil ?</t>
  </si>
  <si>
    <t>L'usage s'intègre-t-il naturellement au flux de travail existant ?</t>
  </si>
  <si>
    <t>Un plan de formation et d'accompagnement est-il envisageable ?</t>
  </si>
  <si>
    <t>Des indicateurs de succès et un suivi post-déploiement sont-ils définis ?</t>
  </si>
  <si>
    <t>Sous-total — Axe 6</t>
  </si>
  <si>
    <t>INTERPRÉTATION</t>
  </si>
  <si>
    <t>✅ GO : ≥ 80 % (≥ 90/112) — cas d'usage prioritaire, lancer une preuve de concept</t>
  </si>
  <si>
    <t>🔶 À APPROFONDIR : 55–79 % (62–89) — combler les lacunes avant de décider</t>
  </si>
  <si>
    <t>❌ NO-GO : &lt; 55 % (&lt; 62) — valeur ou faisabilité insuffisante</t>
  </si>
  <si>
    <t>⛔ BLOQUANT : Q6 (données) ou Q20 (Loi 25) = 0 → cas d'usage suspendu quel que soit le score</t>
  </si>
  <si>
    <t>Réponse</t>
  </si>
  <si>
    <t>Pondération</t>
  </si>
  <si>
    <t>Est-ce qu'il engendrera une augmentation de revenus / création de valeur tangible?</t>
  </si>
  <si>
    <t xml:space="preserve">Est-ce qu'il y aura des gains de productivité / réduction des coûts? </t>
  </si>
  <si>
    <t>Le cas d'usage s'aligne-t-il avec les orientations/priorités stratégiques d'IQ ?</t>
  </si>
  <si>
    <t>Est-ce qu'il engendrera une amélioration de la qualité (moins d’erreurs, conformité)</t>
  </si>
  <si>
    <t>Est-ce qu'il apportera une amélioration de l’expérience client / employé?</t>
  </si>
  <si>
    <t>Combien d’utilisateurs (client ou employé) / directions seront touchés?</t>
  </si>
  <si>
    <t>✅ GO : ≥ 80 % (≥ 2032/2540) — cas d'usage prioritaire, lancer une preuve de concept</t>
  </si>
  <si>
    <t>🔶 À APPROFONDIR : 55–79 % (1397–2031) — combler les lacunes avant de décider</t>
  </si>
  <si>
    <t>❌ NO-GO : &lt; 55 % (&lt; 1397) — valeur ou faisabilité insuffisante</t>
  </si>
  <si>
    <t>⛔ BLOQUANT : Q7 (données) ou Q21 (Loi 25) = 0 → cas d'usage suspendu quel que soit le score</t>
  </si>
  <si>
    <t>Général</t>
  </si>
  <si>
    <t>0-Non applicable</t>
  </si>
  <si>
    <t>1-Faible</t>
  </si>
  <si>
    <t>2-Moyen</t>
  </si>
  <si>
    <t>3-Élevé</t>
  </si>
  <si>
    <t>4-Très élevé</t>
  </si>
  <si>
    <t>ÉVALUATION - VALEUR D'AFFAIRES</t>
  </si>
  <si>
    <t>1 Impact sur la productivité / Revenus</t>
  </si>
  <si>
    <t>2 Croissance revenus ou valeur tangible</t>
  </si>
  <si>
    <t>3-Alignement stratégique</t>
  </si>
  <si>
    <t>5-Expérience utilisateur</t>
  </si>
  <si>
    <t>6-Portée du cas d'usage</t>
  </si>
  <si>
    <t>1-Faible : Initiative isolée</t>
  </si>
  <si>
    <t>1-Faible : Impact utilisateur incertain</t>
  </si>
  <si>
    <t>1-Faible : Quelques utilisateurs/1 direction</t>
  </si>
  <si>
    <t>1-Faible : moins de 5 personnes OU moins de 30 min / semaine</t>
  </si>
  <si>
    <t>1-Faible : Augmentation de 0 à 1%</t>
  </si>
  <si>
    <t>2-Moyen : Amélioration opérationnelle sans lien stratégique</t>
  </si>
  <si>
    <t>2-Moyen : Crée une nouvelle capacité appréciée</t>
  </si>
  <si>
    <t>2-Moyen : Plusieurs utilisateurs/au moins 3 directions</t>
  </si>
  <si>
    <t>2-Moyen : 5 à 20 personnes OU 30 min / semaine / personne</t>
  </si>
  <si>
    <t>2-Moyen : Augmentation de 1 à 3%</t>
  </si>
  <si>
    <t>3-Élevé : Aligné sur une priorité de direction</t>
  </si>
  <si>
    <t>3-Élevé : Améliore une expérience existante de façon notable</t>
  </si>
  <si>
    <t>3- Élevé : Une majorité des utilisateurs (50-75%)</t>
  </si>
  <si>
    <t>3-Élevé : 20 à 100 personnes OU 1 à 2h / semaine / personne</t>
  </si>
  <si>
    <t>3-Élevé : Augmentation de 3 à 5%</t>
  </si>
  <si>
    <t>4-Très élevé : Directement aligné sur une priorité stratégique</t>
  </si>
  <si>
    <t>4-Très élevé : Résout un irritant majeur et fréquent — très demandé</t>
  </si>
  <si>
    <t>4-Très élevé : L'ensemble des utilisateurs</t>
  </si>
  <si>
    <t>4-Très élevé : &gt; 100 personnes OU &gt; 2h / semaine / personne</t>
  </si>
  <si>
    <t xml:space="preserve">4-Très élevé : Augmentation &gt; 5% </t>
  </si>
  <si>
    <t>ÉVALUTION - SOURCES D'INFO/DONNÉES</t>
  </si>
  <si>
    <t>7 Dispo de la données</t>
  </si>
  <si>
    <t>1-Faible : Sources à créer entièrement</t>
  </si>
  <si>
    <t>2-Moyen : Sources partiellement disponibles</t>
  </si>
  <si>
    <t>3-Élevé : Sources disponibles mais à structurer</t>
  </si>
  <si>
    <t>4-Très élevé : Sources disponibles, structurées et à jour</t>
  </si>
  <si>
    <t>ÉVALUATION - FAISABILITÉ TECHNIQUE</t>
  </si>
  <si>
    <t>AXE 2 — DONNÉES DISPONIBLES ET QUALITÉ</t>
  </si>
  <si>
    <t>Q7 - Disponibilité données</t>
  </si>
  <si>
    <t>Q8 - Qualité données</t>
  </si>
  <si>
    <t>Q9 - Volume données</t>
  </si>
  <si>
    <t>Q10 - Structure données</t>
  </si>
  <si>
    <t>Q11 - Droits utilisation</t>
  </si>
  <si>
    <t>1-Faible : Données incomplètes, obsolètes ou inexactes (&lt; 50% exploitables)</t>
  </si>
  <si>
    <t>1-Faible : Volume insuffisant pour entraîner ou valider un modèle</t>
  </si>
  <si>
    <t>1-Faible : Données non structurées, transformation majeure requise</t>
  </si>
  <si>
    <t>1-Faible : Droits inconnus ou litigieux</t>
  </si>
  <si>
    <t>2-Moyen : Sources partiellement disponibles, accès restreint</t>
  </si>
  <si>
    <t>2-Moyen : Données partiellement fiables, nettoyage significatif requis</t>
  </si>
  <si>
    <t>2-Moyen : Volume limité, résultats possibles mais incertains</t>
  </si>
  <si>
    <t>2-Moyen : Structure partielle, ETL significatif nécessaire</t>
  </si>
  <si>
    <t>2-Moyen : Droits partiellement définis, clarification nécessaire</t>
  </si>
  <si>
    <t>3-Élevé : Sources disponibles mais à structurer ou consolider</t>
  </si>
  <si>
    <t>3-Élevé : Données majoritairement fiables, ajustements mineurs requis</t>
  </si>
  <si>
    <t>3-Élevé : Volume adéquat pour la plupart des cas d'usage</t>
  </si>
  <si>
    <t>3-Élevé : Données semi-structurées, retraitement léger</t>
  </si>
  <si>
    <t>3-Élevé : Droits établis avec quelques restrictions mineures</t>
  </si>
  <si>
    <t>4-Très élevé : Sources disponibles, accessibles et prêtes à l'emploi</t>
  </si>
  <si>
    <t>4-Très élevé : Données complètes, à jour et exactes (&gt; 90% exploitables)</t>
  </si>
  <si>
    <t>4-Très élevé : Volume abondant et représentatif de tous les scénarios</t>
  </si>
  <si>
    <t>4-Très élevé : Données structurées, format standard, prêtes à l'analyse</t>
  </si>
  <si>
    <t>4-Très élevé : Droits clairement documentés, aucune restriction</t>
  </si>
  <si>
    <t>AXE 3 — FAISABILITÉ TECHNIQUE</t>
  </si>
  <si>
    <t>Q11 - Adaptation IA</t>
  </si>
  <si>
    <t>Q12 - Solution existante</t>
  </si>
  <si>
    <t>Q13 - Intégration systèmes</t>
  </si>
  <si>
    <t>Q14 - Précision</t>
  </si>
  <si>
    <t>Q15 - POC rapide</t>
  </si>
  <si>
    <t>1-Faible : Tâche complexe, IA peu adaptée ou non prouvée</t>
  </si>
  <si>
    <t>1-Faible : Développement sur mesure requis</t>
  </si>
  <si>
    <t>1-Faible : Intégration complexe, API inexistantes ou incompatibles</t>
  </si>
  <si>
    <t>1-Faible : Précision attendue &lt; 70%, risque d'erreurs fréquentes</t>
  </si>
  <si>
    <t>1-Faible : POC &gt; 3 mois, dépendances multiples</t>
  </si>
  <si>
    <t>2-Moyen : Tâche réalisable avec ajustements et supervision élevée</t>
  </si>
  <si>
    <t>2-Moyen : Solution partielle à adapter significativement</t>
  </si>
  <si>
    <t>2-Moyen : Intégration possible avec développement intermédiaire</t>
  </si>
  <si>
    <t>2-Moyen : Précision de 70-85%, supervision humaine nécessaire</t>
  </si>
  <si>
    <t>2-Moyen : POC de 1 à 3 mois, quelques prérequis</t>
  </si>
  <si>
    <t>3-Élevé : Tâche bien adaptée, cas d'usage similaires documentés</t>
  </si>
  <si>
    <t>3-Élevé : Solution existante avec personnalisation mineure</t>
  </si>
  <si>
    <t>3-Élevé : Connecteurs existants, configuration requise</t>
  </si>
  <si>
    <t>3-Élevé : Précision de 85-95%, erreurs occasionnelles gérables</t>
  </si>
  <si>
    <t>3-Élevé : POC de 2 à 4 semaines, ressources disponibles</t>
  </si>
  <si>
    <t>4-Très élevé : Tâche standard pour l'IA, résultats prévisibles</t>
  </si>
  <si>
    <t>4-Très élevé : Solution clé en main disponible (Copilot, outil interne)</t>
  </si>
  <si>
    <t>4-Très élevé : Intégration native ou plug-and-play</t>
  </si>
  <si>
    <t>4-Très élevé : Précision &gt; 95%, fiabilité comparable à un expert</t>
  </si>
  <si>
    <t>4-Très élevé : POC &lt; 2 semaines, environnement prêt</t>
  </si>
  <si>
    <t>AXE 4 — EFFORT, COÛT ET RESSOURCES</t>
  </si>
  <si>
    <t>Q16 - Effort vs valeur</t>
  </si>
  <si>
    <t>Q17 - Compétences internes</t>
  </si>
  <si>
    <t>Q18 - Coûts</t>
  </si>
  <si>
    <t>Q19 - Reproductibilité</t>
  </si>
  <si>
    <t>1-Faible : ROI négatif ou incertain, effort disproportionné</t>
  </si>
  <si>
    <t>1-Faible : Expertise externe requise, formation longue</t>
  </si>
  <si>
    <t>1-Faible : Coûts inconnus ou hors budget</t>
  </si>
  <si>
    <t>1-Faible : Solution spécifique, non transférable</t>
  </si>
  <si>
    <t>2-Moyen : ROI modeste, effort justifiable à moyen terme</t>
  </si>
  <si>
    <t>2-Moyen : Compétences partielles, accompagnement externe nécessaire</t>
  </si>
  <si>
    <t>2-Moyen : Coûts estimés, budget à confirmer</t>
  </si>
  <si>
    <t>2-Moyen : Réutilisation possible avec adaptations majeures</t>
  </si>
  <si>
    <t>3-Élevé : ROI positif clair, effort raisonnable</t>
  </si>
  <si>
    <t>3-Élevé : Compétences disponibles avec montée en charge rapide</t>
  </si>
  <si>
    <t>3-Élevé : Coûts définis, budget approuvé avec conditions</t>
  </si>
  <si>
    <t>3-Élevé : Transférable à 2-3 équipes avec ajustements</t>
  </si>
  <si>
    <t>4-Très élevé : ROI élevé, effort minimal comparé aux bénéfices</t>
  </si>
  <si>
    <t>4-Très élevé : Équipe expérimentée, autonomie complète</t>
  </si>
  <si>
    <t>4-Très élevé : Coûts précis et budget alloué</t>
  </si>
  <si>
    <t>4-Très élevé : Modèle générique, déployable à l'échelle d'IQ</t>
  </si>
  <si>
    <t>AXE 5 — RISQUES, CONFORMITÉ ET ÉTHIQUE</t>
  </si>
  <si>
    <t>Q20 - Loi 25</t>
  </si>
  <si>
    <t>Q21 - Biais/erreurs</t>
  </si>
  <si>
    <t>Q22 - Human-in-the-loop</t>
  </si>
  <si>
    <t>Q23 - Traçabilité</t>
  </si>
  <si>
    <t>Q24 - Politiques IQ</t>
  </si>
  <si>
    <t>1-Faible : Données personnelles sensibles, conformité non assurée</t>
  </si>
  <si>
    <t>1-Faible : Risques de biais élevés, impact potentiellement grave</t>
  </si>
  <si>
    <t>1-Faible : Décisions automatisées sans révision humaine</t>
  </si>
  <si>
    <t>1-Faible : Aucune traçabilité, boîte noire</t>
  </si>
  <si>
    <t>1-Faible : Non conforme, dérogation requise</t>
  </si>
  <si>
    <t>2-Moyen : Données personnelles impliquées, mesures à implanter</t>
  </si>
  <si>
    <t>2-Moyen : Biais identifiés, mesures de mitigation à développer</t>
  </si>
  <si>
    <t>2-Moyen : Révision humaine occasionnelle ou par échantillonnage</t>
  </si>
  <si>
    <t>2-Moyen : Logs partiels, auditabilité limitée</t>
  </si>
  <si>
    <t>2-Moyen : Partiellement conforme, ajustements nécessaires</t>
  </si>
  <si>
    <t>3-Élevé : Données anonymisées ou minimisées, conformité probable</t>
  </si>
  <si>
    <t>3-Élevé : Biais connus et contrôlés, monitoring en place</t>
  </si>
  <si>
    <t>3-Élevé : Validation humaine systématique pour décisions clés</t>
  </si>
  <si>
    <t>3-Élevé : Traçabilité complète, explications disponibles</t>
  </si>
  <si>
    <t>3-Élevé : Conforme avec documentation à compléter</t>
  </si>
  <si>
    <t>4-Très élevé : Aucune donnée personnelle OU conformité démontrée</t>
  </si>
  <si>
    <t>4-Très élevé : Risques faibles, processus de validation robuste</t>
  </si>
  <si>
    <t>4-Très élevé : Humain décideur final, IA en support uniquement</t>
  </si>
  <si>
    <t>4-Très élevé : Audit trail complet, explicabilité intégrée</t>
  </si>
  <si>
    <t>4-Très élevé : Pleinement conforme, validation obtenue</t>
  </si>
  <si>
    <t>AXE 6 — ADOPTION ET CONDUITE DU CHANGEMENT</t>
  </si>
  <si>
    <t>Q25 - Adhésion utilisateurs</t>
  </si>
  <si>
    <t>Q26 - Intégration flux travail</t>
  </si>
  <si>
    <t>Q27 - Formation</t>
  </si>
  <si>
    <t>Q28 - KPIs et suivi</t>
  </si>
  <si>
    <t>1-Faible : Résistance anticipée, scepticisme élevé</t>
  </si>
  <si>
    <t>1-Faible : Changement majeur de processus requis</t>
  </si>
  <si>
    <t>1-Faible : Formation complexe et longue (&gt; 2 jours)</t>
  </si>
  <si>
    <t>1-Faible : Aucun KPI défini, succès difficile à mesurer</t>
  </si>
  <si>
    <t>2-Moyen : Réceptivité variable, sensibilisation nécessaire</t>
  </si>
  <si>
    <t>2-Moyen : Adaptations significatives du flux de travail</t>
  </si>
  <si>
    <t>2-Moyen : Formation d'une demi-journée à 2 jours</t>
  </si>
  <si>
    <t>2-Moyen : KPIs généraux identifiés, métriques à préciser</t>
  </si>
  <si>
    <t>3-Élevé : Intérêt manifesté, attentes positives</t>
  </si>
  <si>
    <t>3-Élevé : Intégration naturelle avec ajustements mineurs</t>
  </si>
  <si>
    <t>3-Élevé : Formation courte (&lt; 2 heures) avec documentation</t>
  </si>
  <si>
    <t>3-Élevé : KPIs définis avec cibles et baseline</t>
  </si>
  <si>
    <t>4-Très élevé : Demande exprimée par les utilisateurs, forte adhésion</t>
  </si>
  <si>
    <t>4-Très élevé : S'insère parfaitement dans le processus actuel</t>
  </si>
  <si>
    <t>4-Très élevé : Outil intuitif, auto-formation possible</t>
  </si>
  <si>
    <t>4-Très élevé : Tableau de bord prévu, suivi automatisé planifié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</si>
</sst>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2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F4E79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sz val="10"/>
      <color rgb="FF595959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9"/>
      <color rgb="FF595959"/>
      <name val="Arial"/>
      <charset val="1"/>
    </font>
    <font>
      <b/>
      <sz val="10"/>
      <color rgb="FF1F4E79"/>
      <name val="Arial"/>
      <charset val="1"/>
    </font>
    <font>
      <b/>
      <sz val="9"/>
      <color rgb="FF595959"/>
      <name val="Arial"/>
      <charset val="1"/>
    </font>
    <font>
      <sz val="9"/>
      <name val="Arial"/>
      <charset val="1"/>
    </font>
    <font>
      <sz val="10"/>
      <color rgb="FF1C2833"/>
      <name val="Arial"/>
      <family val="2"/>
    </font>
    <font>
      <b/>
      <sz val="10"/>
      <color rgb="FF1A5276"/>
      <name val="Arial"/>
      <family val="2"/>
    </font>
    <font>
      <sz val="9.5"/>
      <color rgb="FF1C2833"/>
      <name val="Arial"/>
      <family val="2"/>
    </font>
    <font>
      <b/>
      <sz val="10"/>
      <color rgb="FFFFFFFF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charset val="1"/>
    </font>
    <font>
      <sz val="8"/>
      <name val="Arial"/>
    </font>
    <font>
      <sz val="8"/>
      <color theme="1"/>
      <name val="Calibri"/>
      <family val="2"/>
      <charset val="1"/>
    </font>
    <font>
      <b/>
      <sz val="9"/>
      <color rgb="FFDDEBF7"/>
      <name val="Arial"/>
      <family val="2"/>
    </font>
    <font>
      <sz val="11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B9C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C00000"/>
        <bgColor rgb="FF9C0006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59">
    <xf numFmtId="0" fontId="0" fillId="0" borderId="0" xfId="0"/>
    <xf numFmtId="0" fontId="12" fillId="0" borderId="1" xfId="0" applyFont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inden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8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20" fillId="0" borderId="1" xfId="0" quotePrefix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6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5" fillId="0" borderId="0" xfId="0" applyFont="1" applyAlignment="1">
      <alignment vertical="top"/>
    </xf>
    <xf numFmtId="0" fontId="17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right" vertical="center"/>
    </xf>
    <xf numFmtId="0" fontId="8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6" fillId="10" borderId="0" xfId="0" applyFont="1" applyFill="1" applyAlignment="1">
      <alignment vertical="top"/>
    </xf>
    <xf numFmtId="0" fontId="22" fillId="11" borderId="0" xfId="0" applyFont="1" applyFill="1" applyAlignment="1">
      <alignment vertical="top"/>
    </xf>
    <xf numFmtId="0" fontId="28" fillId="3" borderId="1" xfId="0" applyFont="1" applyFill="1" applyBorder="1" applyAlignment="1">
      <alignment horizontal="left" vertical="center"/>
    </xf>
    <xf numFmtId="9" fontId="8" fillId="4" borderId="1" xfId="1" applyFont="1" applyFill="1" applyBorder="1" applyAlignment="1">
      <alignment horizontal="left" vertical="center" indent="1"/>
    </xf>
    <xf numFmtId="0" fontId="29" fillId="0" borderId="0" xfId="0" applyFont="1"/>
    <xf numFmtId="0" fontId="1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0" borderId="0" xfId="0" applyFont="1"/>
    <xf numFmtId="0" fontId="14" fillId="0" borderId="2" xfId="0" applyFont="1" applyBorder="1" applyAlignment="1">
      <alignment vertical="center" wrapText="1"/>
    </xf>
    <xf numFmtId="0" fontId="4" fillId="4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right" vertical="center"/>
    </xf>
    <xf numFmtId="0" fontId="0" fillId="3" borderId="2" xfId="0" applyFill="1" applyBorder="1" applyAlignment="1"/>
    <xf numFmtId="0" fontId="3" fillId="0" borderId="1" xfId="0" applyFont="1" applyBorder="1" applyAlignment="1"/>
  </cellXfs>
  <cellStyles count="2">
    <cellStyle name="Normal" xfId="0" builtinId="0"/>
    <cellStyle name="Pourcentage" xfId="1" builtinId="5"/>
  </cellStyles>
  <dxfs count="10">
    <dxf>
      <font>
        <i/>
        <color rgb="FF595959"/>
        <name val="Arial"/>
        <charset val="1"/>
      </font>
      <fill>
        <patternFill>
          <bgColor rgb="FFD9D9D9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i/>
        <color rgb="FF595959"/>
        <name val="Arial"/>
        <charset val="1"/>
      </font>
      <fill>
        <patternFill>
          <bgColor rgb="FFD9D9D9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showGridLines="0" topLeftCell="A28" zoomScaleNormal="100" workbookViewId="0">
      <selection activeCell="J22" sqref="J22"/>
    </sheetView>
  </sheetViews>
  <sheetFormatPr defaultColWidth="8.7109375" defaultRowHeight="15"/>
  <cols>
    <col min="1" max="1" width="26.140625" customWidth="1"/>
    <col min="2" max="2" width="86.85546875" customWidth="1"/>
    <col min="3" max="3" width="13" customWidth="1"/>
    <col min="4" max="4" width="30.85546875" customWidth="1"/>
    <col min="5" max="5" width="0" hidden="1" customWidth="1"/>
    <col min="6" max="6" width="3" hidden="1" customWidth="1"/>
    <col min="7" max="7" width="0" hidden="1" customWidth="1"/>
  </cols>
  <sheetData>
    <row r="1" spans="1:6" ht="25.5" customHeight="1">
      <c r="A1" s="53" t="s">
        <v>0</v>
      </c>
      <c r="B1" s="53"/>
      <c r="C1" s="53"/>
      <c r="D1" s="53"/>
    </row>
    <row r="2" spans="1:6">
      <c r="A2" s="54" t="s">
        <v>1</v>
      </c>
      <c r="B2" s="54"/>
      <c r="C2" s="54"/>
      <c r="D2" s="54"/>
      <c r="F2">
        <f>IF(COUNT(C18:C22,C26:C30,C34:C38,C42:C45,C49:C53,C57:C60)&lt;28,0,IF(OR(C26=0,C49=0),4,IF(C11&gt;=0.8,1,IF(C11&gt;=0.55,2,3))))</f>
        <v>0</v>
      </c>
    </row>
    <row r="4" spans="1:6">
      <c r="A4" s="3" t="s">
        <v>2</v>
      </c>
      <c r="B4" s="57"/>
      <c r="C4" s="57"/>
      <c r="D4" s="57"/>
    </row>
    <row r="5" spans="1:6">
      <c r="A5" s="3" t="s">
        <v>3</v>
      </c>
      <c r="B5" s="57"/>
      <c r="C5" s="57"/>
      <c r="D5" s="57"/>
    </row>
    <row r="6" spans="1:6">
      <c r="A6" s="3" t="s">
        <v>4</v>
      </c>
      <c r="B6" s="57"/>
      <c r="C6" s="57"/>
      <c r="D6" s="57"/>
    </row>
    <row r="7" spans="1:6">
      <c r="A7" s="3" t="s">
        <v>5</v>
      </c>
      <c r="B7" s="57"/>
      <c r="C7" s="57"/>
      <c r="D7" s="57"/>
    </row>
    <row r="9" spans="1:6" ht="19.5" customHeight="1">
      <c r="A9" s="50" t="s">
        <v>6</v>
      </c>
      <c r="B9" s="50"/>
      <c r="C9" s="50"/>
      <c r="D9" s="50"/>
    </row>
    <row r="10" spans="1:6" ht="15.75">
      <c r="A10" s="58" t="s">
        <v>7</v>
      </c>
      <c r="B10" s="58"/>
      <c r="C10" s="4">
        <f>C23+C31+C39+C46+C54+C61</f>
        <v>0</v>
      </c>
      <c r="D10" s="5" t="s">
        <v>8</v>
      </c>
    </row>
    <row r="11" spans="1:6" ht="15.75">
      <c r="A11" s="58" t="s">
        <v>9</v>
      </c>
      <c r="B11" s="58"/>
      <c r="C11" s="6">
        <f>C10/112</f>
        <v>0</v>
      </c>
      <c r="D11" s="7"/>
    </row>
    <row r="12" spans="1:6" ht="33.75" customHeight="1">
      <c r="A12" s="58" t="s">
        <v>10</v>
      </c>
      <c r="B12" s="58"/>
      <c r="C12" s="51" t="str">
        <f>IF(F2=0,"⏳ Saisir les 28 scores pour obtenir la recommandation",IF(F2=4,"⛔ SUSPENDU — critère bloquant : disponibilité des données (Q6) ou conformité Loi 25 (Q20) = 0",IF(F2=1,"✅ GO — cas dusage prioritaire : lancer une preuve de concept",IF(F2=2,"🔶 À APPROFONDIR — combler les lacunes (données, sponsor, conformité) avant de décider","❌ NO-GO — valeur ou faisabilité insuffisante : reporter ou abandonner"))))</f>
        <v>⏳ Saisir les 28 scores pour obtenir la recommandation</v>
      </c>
      <c r="D12" s="51"/>
    </row>
    <row r="14" spans="1:6" ht="30" customHeight="1">
      <c r="A14" s="52" t="s">
        <v>11</v>
      </c>
      <c r="B14" s="52"/>
      <c r="C14" s="52"/>
      <c r="D14" s="52"/>
    </row>
    <row r="16" spans="1:6" ht="25.5" customHeight="1">
      <c r="A16" s="8" t="s">
        <v>12</v>
      </c>
      <c r="B16" s="8" t="s">
        <v>13</v>
      </c>
      <c r="C16" s="8" t="s">
        <v>14</v>
      </c>
      <c r="D16" s="8" t="s">
        <v>15</v>
      </c>
    </row>
    <row r="17" spans="1:4" ht="18" customHeight="1">
      <c r="A17" s="55" t="s">
        <v>16</v>
      </c>
      <c r="B17" s="55"/>
      <c r="C17" s="55"/>
      <c r="D17" s="55"/>
    </row>
    <row r="18" spans="1:4">
      <c r="A18" s="9">
        <v>1</v>
      </c>
      <c r="B18" s="10" t="s">
        <v>17</v>
      </c>
      <c r="C18" s="11"/>
      <c r="D18" s="12">
        <v>4</v>
      </c>
    </row>
    <row r="19" spans="1:4">
      <c r="A19" s="9">
        <v>2</v>
      </c>
      <c r="B19" s="10" t="s">
        <v>18</v>
      </c>
      <c r="C19" s="11"/>
      <c r="D19" s="12">
        <v>4</v>
      </c>
    </row>
    <row r="20" spans="1:4">
      <c r="A20" s="9">
        <v>3</v>
      </c>
      <c r="B20" s="10" t="s">
        <v>19</v>
      </c>
      <c r="C20" s="11"/>
      <c r="D20" s="12">
        <v>4</v>
      </c>
    </row>
    <row r="21" spans="1:4">
      <c r="A21" s="9">
        <v>4</v>
      </c>
      <c r="B21" s="10" t="s">
        <v>20</v>
      </c>
      <c r="C21" s="11"/>
      <c r="D21" s="12">
        <v>4</v>
      </c>
    </row>
    <row r="22" spans="1:4">
      <c r="A22" s="9">
        <v>5</v>
      </c>
      <c r="B22" s="10" t="s">
        <v>21</v>
      </c>
      <c r="C22" s="11"/>
      <c r="D22" s="12">
        <v>4</v>
      </c>
    </row>
    <row r="23" spans="1:4">
      <c r="A23" s="56" t="s">
        <v>22</v>
      </c>
      <c r="B23" s="56"/>
      <c r="C23" s="13">
        <f>SUM(C18:C22)</f>
        <v>0</v>
      </c>
      <c r="D23" s="14">
        <v>20</v>
      </c>
    </row>
    <row r="25" spans="1:4" ht="18" customHeight="1">
      <c r="A25" s="55" t="s">
        <v>23</v>
      </c>
      <c r="B25" s="55"/>
      <c r="C25" s="55"/>
      <c r="D25" s="55"/>
    </row>
    <row r="26" spans="1:4">
      <c r="A26" s="9">
        <v>6</v>
      </c>
      <c r="B26" s="10" t="s">
        <v>24</v>
      </c>
      <c r="C26" s="11"/>
      <c r="D26" s="12">
        <v>4</v>
      </c>
    </row>
    <row r="27" spans="1:4">
      <c r="A27" s="9">
        <v>7</v>
      </c>
      <c r="B27" s="10" t="s">
        <v>25</v>
      </c>
      <c r="C27" s="11"/>
      <c r="D27" s="12">
        <v>4</v>
      </c>
    </row>
    <row r="28" spans="1:4">
      <c r="A28" s="9">
        <v>8</v>
      </c>
      <c r="B28" s="10" t="s">
        <v>26</v>
      </c>
      <c r="C28" s="11"/>
      <c r="D28" s="12">
        <v>4</v>
      </c>
    </row>
    <row r="29" spans="1:4">
      <c r="A29" s="9">
        <v>9</v>
      </c>
      <c r="B29" s="10" t="s">
        <v>27</v>
      </c>
      <c r="C29" s="11"/>
      <c r="D29" s="12">
        <v>4</v>
      </c>
    </row>
    <row r="30" spans="1:4">
      <c r="A30" s="9">
        <v>10</v>
      </c>
      <c r="B30" s="10" t="s">
        <v>28</v>
      </c>
      <c r="C30" s="11"/>
      <c r="D30" s="12">
        <v>4</v>
      </c>
    </row>
    <row r="31" spans="1:4">
      <c r="A31" s="56" t="s">
        <v>29</v>
      </c>
      <c r="B31" s="56"/>
      <c r="C31" s="13">
        <f>SUM(C26:C30)</f>
        <v>0</v>
      </c>
      <c r="D31" s="14">
        <v>20</v>
      </c>
    </row>
    <row r="33" spans="1:4" ht="18" customHeight="1">
      <c r="A33" s="55" t="s">
        <v>30</v>
      </c>
      <c r="B33" s="55"/>
      <c r="C33" s="55"/>
      <c r="D33" s="55"/>
    </row>
    <row r="34" spans="1:4">
      <c r="A34" s="9">
        <v>11</v>
      </c>
      <c r="B34" s="10" t="s">
        <v>31</v>
      </c>
      <c r="C34" s="11"/>
      <c r="D34" s="12">
        <v>4</v>
      </c>
    </row>
    <row r="35" spans="1:4">
      <c r="A35" s="9">
        <v>12</v>
      </c>
      <c r="B35" s="10" t="s">
        <v>32</v>
      </c>
      <c r="C35" s="11"/>
      <c r="D35" s="12">
        <v>4</v>
      </c>
    </row>
    <row r="36" spans="1:4">
      <c r="A36" s="9">
        <v>13</v>
      </c>
      <c r="B36" s="10" t="s">
        <v>33</v>
      </c>
      <c r="C36" s="11"/>
      <c r="D36" s="12">
        <v>4</v>
      </c>
    </row>
    <row r="37" spans="1:4">
      <c r="A37" s="9">
        <v>14</v>
      </c>
      <c r="B37" s="10" t="s">
        <v>34</v>
      </c>
      <c r="C37" s="11"/>
      <c r="D37" s="12">
        <v>4</v>
      </c>
    </row>
    <row r="38" spans="1:4">
      <c r="A38" s="9">
        <v>15</v>
      </c>
      <c r="B38" s="10" t="s">
        <v>35</v>
      </c>
      <c r="C38" s="11"/>
      <c r="D38" s="12">
        <v>4</v>
      </c>
    </row>
    <row r="39" spans="1:4">
      <c r="A39" s="56" t="s">
        <v>36</v>
      </c>
      <c r="B39" s="56"/>
      <c r="C39" s="13">
        <f>SUM(C34:C38)</f>
        <v>0</v>
      </c>
      <c r="D39" s="14">
        <v>20</v>
      </c>
    </row>
    <row r="41" spans="1:4" ht="18" customHeight="1">
      <c r="A41" s="55" t="s">
        <v>37</v>
      </c>
      <c r="B41" s="55"/>
      <c r="C41" s="55"/>
      <c r="D41" s="55"/>
    </row>
    <row r="42" spans="1:4">
      <c r="A42" s="9">
        <v>16</v>
      </c>
      <c r="B42" s="10" t="s">
        <v>38</v>
      </c>
      <c r="C42" s="11"/>
      <c r="D42" s="12">
        <v>4</v>
      </c>
    </row>
    <row r="43" spans="1:4">
      <c r="A43" s="9">
        <v>17</v>
      </c>
      <c r="B43" s="10" t="s">
        <v>39</v>
      </c>
      <c r="C43" s="11"/>
      <c r="D43" s="12">
        <v>4</v>
      </c>
    </row>
    <row r="44" spans="1:4">
      <c r="A44" s="9">
        <v>18</v>
      </c>
      <c r="B44" s="10" t="s">
        <v>40</v>
      </c>
      <c r="C44" s="11"/>
      <c r="D44" s="12">
        <v>4</v>
      </c>
    </row>
    <row r="45" spans="1:4">
      <c r="A45" s="9">
        <v>19</v>
      </c>
      <c r="B45" s="10" t="s">
        <v>41</v>
      </c>
      <c r="C45" s="11"/>
      <c r="D45" s="12">
        <v>4</v>
      </c>
    </row>
    <row r="46" spans="1:4">
      <c r="A46" s="56" t="s">
        <v>42</v>
      </c>
      <c r="B46" s="56"/>
      <c r="C46" s="13">
        <f>SUM(C42:C45)</f>
        <v>0</v>
      </c>
      <c r="D46" s="14">
        <v>16</v>
      </c>
    </row>
    <row r="48" spans="1:4" ht="18" customHeight="1">
      <c r="A48" s="55" t="s">
        <v>43</v>
      </c>
      <c r="B48" s="55"/>
      <c r="C48" s="55"/>
      <c r="D48" s="55"/>
    </row>
    <row r="49" spans="1:4">
      <c r="A49" s="9">
        <v>20</v>
      </c>
      <c r="B49" s="10" t="s">
        <v>44</v>
      </c>
      <c r="C49" s="11"/>
      <c r="D49" s="12">
        <v>4</v>
      </c>
    </row>
    <row r="50" spans="1:4">
      <c r="A50" s="9">
        <v>21</v>
      </c>
      <c r="B50" s="10" t="s">
        <v>45</v>
      </c>
      <c r="C50" s="11"/>
      <c r="D50" s="12">
        <v>4</v>
      </c>
    </row>
    <row r="51" spans="1:4">
      <c r="A51" s="9">
        <v>22</v>
      </c>
      <c r="B51" s="10" t="s">
        <v>46</v>
      </c>
      <c r="C51" s="11"/>
      <c r="D51" s="12">
        <v>4</v>
      </c>
    </row>
    <row r="52" spans="1:4">
      <c r="A52" s="9">
        <v>23</v>
      </c>
      <c r="B52" s="10" t="s">
        <v>47</v>
      </c>
      <c r="C52" s="11"/>
      <c r="D52" s="12">
        <v>4</v>
      </c>
    </row>
    <row r="53" spans="1:4">
      <c r="A53" s="9">
        <v>24</v>
      </c>
      <c r="B53" s="10" t="s">
        <v>48</v>
      </c>
      <c r="C53" s="11"/>
      <c r="D53" s="12">
        <v>4</v>
      </c>
    </row>
    <row r="54" spans="1:4">
      <c r="A54" s="56" t="s">
        <v>49</v>
      </c>
      <c r="B54" s="56"/>
      <c r="C54" s="13">
        <f>SUM(C49:C53)</f>
        <v>0</v>
      </c>
      <c r="D54" s="14">
        <v>20</v>
      </c>
    </row>
    <row r="56" spans="1:4" ht="18" customHeight="1">
      <c r="A56" s="55" t="s">
        <v>50</v>
      </c>
      <c r="B56" s="55"/>
      <c r="C56" s="55"/>
      <c r="D56" s="55"/>
    </row>
    <row r="57" spans="1:4">
      <c r="A57" s="9">
        <v>25</v>
      </c>
      <c r="B57" s="10" t="s">
        <v>51</v>
      </c>
      <c r="C57" s="11"/>
      <c r="D57" s="12">
        <v>4</v>
      </c>
    </row>
    <row r="58" spans="1:4">
      <c r="A58" s="9">
        <v>26</v>
      </c>
      <c r="B58" s="10" t="s">
        <v>52</v>
      </c>
      <c r="C58" s="11"/>
      <c r="D58" s="12">
        <v>4</v>
      </c>
    </row>
    <row r="59" spans="1:4">
      <c r="A59" s="9">
        <v>27</v>
      </c>
      <c r="B59" s="10" t="s">
        <v>53</v>
      </c>
      <c r="C59" s="11"/>
      <c r="D59" s="12">
        <v>4</v>
      </c>
    </row>
    <row r="60" spans="1:4">
      <c r="A60" s="9">
        <v>28</v>
      </c>
      <c r="B60" s="10" t="s">
        <v>54</v>
      </c>
      <c r="C60" s="11"/>
      <c r="D60" s="12">
        <v>4</v>
      </c>
    </row>
    <row r="61" spans="1:4">
      <c r="A61" s="56" t="s">
        <v>55</v>
      </c>
      <c r="B61" s="56"/>
      <c r="C61" s="13">
        <f>SUM(C57:C60)</f>
        <v>0</v>
      </c>
      <c r="D61" s="14">
        <v>16</v>
      </c>
    </row>
    <row r="64" spans="1:4">
      <c r="A64" s="50" t="s">
        <v>56</v>
      </c>
      <c r="B64" s="50"/>
      <c r="C64" s="50"/>
      <c r="D64" s="50"/>
    </row>
    <row r="65" spans="1:4" ht="15.75" customHeight="1">
      <c r="A65" s="15"/>
      <c r="B65" s="49" t="s">
        <v>57</v>
      </c>
      <c r="C65" s="49"/>
      <c r="D65" s="49"/>
    </row>
    <row r="66" spans="1:4" ht="15.75" customHeight="1">
      <c r="A66" s="16"/>
      <c r="B66" s="49" t="s">
        <v>58</v>
      </c>
      <c r="C66" s="49"/>
      <c r="D66" s="49"/>
    </row>
    <row r="67" spans="1:4" ht="15.75" customHeight="1">
      <c r="A67" s="17"/>
      <c r="B67" s="49" t="s">
        <v>59</v>
      </c>
      <c r="C67" s="49"/>
      <c r="D67" s="49"/>
    </row>
    <row r="68" spans="1:4" ht="15.75" customHeight="1">
      <c r="A68" s="18"/>
      <c r="B68" s="49" t="s">
        <v>60</v>
      </c>
      <c r="C68" s="49"/>
      <c r="D68" s="49"/>
    </row>
  </sheetData>
  <mergeCells count="29">
    <mergeCell ref="B66:D66"/>
    <mergeCell ref="B67:D67"/>
    <mergeCell ref="B68:D68"/>
    <mergeCell ref="A54:B54"/>
    <mergeCell ref="A56:D56"/>
    <mergeCell ref="A61:B61"/>
    <mergeCell ref="A64:D64"/>
    <mergeCell ref="B65:D65"/>
    <mergeCell ref="A33:D33"/>
    <mergeCell ref="A39:B39"/>
    <mergeCell ref="A41:D41"/>
    <mergeCell ref="A46:B46"/>
    <mergeCell ref="A48:D48"/>
    <mergeCell ref="A14:D14"/>
    <mergeCell ref="A17:D17"/>
    <mergeCell ref="A23:B23"/>
    <mergeCell ref="A25:D25"/>
    <mergeCell ref="A31:B31"/>
    <mergeCell ref="B7:D7"/>
    <mergeCell ref="A9:D9"/>
    <mergeCell ref="A10:B10"/>
    <mergeCell ref="A11:B11"/>
    <mergeCell ref="A12:B12"/>
    <mergeCell ref="C12:D12"/>
    <mergeCell ref="A1:D1"/>
    <mergeCell ref="A2:D2"/>
    <mergeCell ref="B4:D4"/>
    <mergeCell ref="B5:D5"/>
    <mergeCell ref="B6:D6"/>
  </mergeCells>
  <conditionalFormatting sqref="C12">
    <cfRule type="expression" dxfId="9" priority="2">
      <formula>$F2=1</formula>
    </cfRule>
    <cfRule type="expression" dxfId="8" priority="3">
      <formula>$F2=2</formula>
    </cfRule>
    <cfRule type="expression" dxfId="7" priority="4">
      <formula>$F2=3</formula>
    </cfRule>
    <cfRule type="expression" dxfId="6" priority="5">
      <formula>$F2=4</formula>
    </cfRule>
    <cfRule type="expression" dxfId="5" priority="6">
      <formula>$F2=0</formula>
    </cfRule>
  </conditionalFormatting>
  <dataValidations count="1">
    <dataValidation type="whole" allowBlank="1" showErrorMessage="1" errorTitle="Score invalide" error="Entrez un entier de 0 à 4." sqref="C18:C22 C26:C30 C34:C38 C42:C45 C49:C53 C57:C60" xr:uid="{00000000-0002-0000-0000-000000000000}">
      <formula1>0</formula1>
      <formula2>4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INTERNE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6E60-BB23-4C92-9ECF-EA1A6E57AF70}">
  <dimension ref="A1:H69"/>
  <sheetViews>
    <sheetView tabSelected="1" topLeftCell="A25" zoomScale="130" zoomScaleNormal="130" workbookViewId="0">
      <selection activeCell="B37" sqref="B37"/>
    </sheetView>
  </sheetViews>
  <sheetFormatPr defaultColWidth="8.7109375" defaultRowHeight="15"/>
  <cols>
    <col min="1" max="1" width="26.140625" customWidth="1"/>
    <col min="2" max="2" width="86.85546875" customWidth="1"/>
    <col min="3" max="3" width="13" customWidth="1"/>
    <col min="4" max="4" width="12.140625" customWidth="1"/>
    <col min="5" max="5" width="8.7109375" customWidth="1"/>
    <col min="6" max="6" width="14.5703125" customWidth="1"/>
    <col min="7" max="7" width="9.42578125" customWidth="1"/>
  </cols>
  <sheetData>
    <row r="1" spans="1:7" ht="25.5" customHeight="1">
      <c r="A1" s="53" t="s">
        <v>0</v>
      </c>
      <c r="B1" s="53"/>
      <c r="C1" s="53"/>
      <c r="D1" s="53"/>
    </row>
    <row r="2" spans="1:7">
      <c r="A2" s="54" t="s">
        <v>1</v>
      </c>
      <c r="B2" s="54"/>
      <c r="C2" s="54"/>
      <c r="D2" s="54"/>
      <c r="E2">
        <f>IF(COUNT(E18:E23,E27:E31,E35:E39,E43:E46,E50:E54,E58:E61)&lt;28,0,IF(OR(E27=0,E50=0),4,IF(C11&gt;=0.8,1,IF(C11&gt;=0.55,2,3))))</f>
        <v>0</v>
      </c>
    </row>
    <row r="4" spans="1:7">
      <c r="A4" s="3" t="s">
        <v>2</v>
      </c>
      <c r="B4" s="57"/>
      <c r="C4" s="57"/>
      <c r="D4" s="57"/>
    </row>
    <row r="5" spans="1:7">
      <c r="A5" s="3" t="s">
        <v>3</v>
      </c>
      <c r="B5" s="57"/>
      <c r="C5" s="57"/>
      <c r="D5" s="57"/>
    </row>
    <row r="6" spans="1:7">
      <c r="A6" s="3" t="s">
        <v>4</v>
      </c>
      <c r="B6" s="57"/>
      <c r="C6" s="57"/>
      <c r="D6" s="57"/>
    </row>
    <row r="7" spans="1:7">
      <c r="A7" s="3" t="s">
        <v>5</v>
      </c>
      <c r="B7" s="57"/>
      <c r="C7" s="57"/>
      <c r="D7" s="57"/>
    </row>
    <row r="9" spans="1:7" ht="19.5" customHeight="1">
      <c r="A9" s="50" t="s">
        <v>6</v>
      </c>
      <c r="B9" s="50"/>
      <c r="C9" s="50"/>
      <c r="D9" s="50"/>
    </row>
    <row r="10" spans="1:7" ht="15.75">
      <c r="A10" s="58" t="s">
        <v>7</v>
      </c>
      <c r="B10" s="58"/>
      <c r="C10" s="4">
        <f ca="1">F24+F32+F40+F47+F55</f>
        <v>0</v>
      </c>
      <c r="D10" s="5" t="str">
        <f>"/ "&amp;(SUM(D18:D23)+SUM(D27:D31)+SUM(D35:D39)+SUM(D43:D46)+SUM(D50:D54))*4</f>
        <v>/ 2160</v>
      </c>
    </row>
    <row r="11" spans="1:7" ht="15.75">
      <c r="A11" s="58" t="s">
        <v>9</v>
      </c>
      <c r="B11" s="58"/>
      <c r="C11" s="6">
        <f ca="1">IFERROR(C10/((SUM(D18:D23)+SUM(D27:D31)+SUM(D35:D39)+SUM(D43:D46)+SUM(D50:D54)+SUM(D58:D61))*4),0)</f>
        <v>0</v>
      </c>
      <c r="D11" s="7"/>
    </row>
    <row r="12" spans="1:7" ht="33.75" customHeight="1">
      <c r="A12" s="58" t="s">
        <v>10</v>
      </c>
      <c r="B12" s="58"/>
      <c r="C12" s="51" t="str">
        <f>IF(E2=0,"⏳ Saisir les 28 scores pour obtenir la recommandation",IF(E2=4,"⛔ SUSPENDU — critère bloquant : disponibilité des données (Q6) ou conformité Loi 25 (Q20) = 0",IF(E2=1,"✅ GO — cas dusage prioritaire : lancer une preuve de concept",IF(E2=2,"🔶 À APPROFONDIR — combler les lacunes (données, sponsor, conformité) avant de décider","❌ NO-GO — valeur ou faisabilité insuffisante : reporter ou abandonner"))))</f>
        <v>⏳ Saisir les 28 scores pour obtenir la recommandation</v>
      </c>
      <c r="D12" s="51"/>
    </row>
    <row r="14" spans="1:7" ht="30" customHeight="1">
      <c r="A14" s="52" t="s">
        <v>11</v>
      </c>
      <c r="B14" s="52"/>
      <c r="C14" s="52"/>
      <c r="D14" s="52"/>
    </row>
    <row r="16" spans="1:7" ht="25.5" customHeight="1">
      <c r="A16" s="8" t="s">
        <v>12</v>
      </c>
      <c r="B16" s="8" t="s">
        <v>13</v>
      </c>
      <c r="C16" s="19" t="s">
        <v>61</v>
      </c>
      <c r="D16" s="19" t="s">
        <v>62</v>
      </c>
      <c r="E16" s="8" t="s">
        <v>14</v>
      </c>
      <c r="F16" s="19" t="s">
        <v>7</v>
      </c>
      <c r="G16" s="44"/>
    </row>
    <row r="17" spans="1:6" ht="18" customHeight="1">
      <c r="A17" s="2" t="s">
        <v>16</v>
      </c>
      <c r="B17" s="2"/>
      <c r="C17" s="2"/>
      <c r="D17" s="2"/>
      <c r="E17" s="2"/>
      <c r="F17" s="42">
        <v>0.4</v>
      </c>
    </row>
    <row r="18" spans="1:6">
      <c r="A18" s="9">
        <v>1</v>
      </c>
      <c r="B18" s="21" t="s">
        <v>63</v>
      </c>
      <c r="C18" s="20"/>
      <c r="D18" s="12">
        <v>30</v>
      </c>
      <c r="E18" s="12" t="str">
        <f t="shared" ref="E18:E23" si="0">IFERROR(LEFT(C18,1)*1,"")</f>
        <v/>
      </c>
      <c r="F18" s="12">
        <f t="shared" ref="F18:F23" si="1">IFERROR(D18*E18,0)</f>
        <v>0</v>
      </c>
    </row>
    <row r="19" spans="1:6">
      <c r="A19" s="9">
        <v>2</v>
      </c>
      <c r="B19" s="21" t="s">
        <v>64</v>
      </c>
      <c r="C19" s="20"/>
      <c r="D19" s="12">
        <v>25</v>
      </c>
      <c r="E19" s="12" t="str">
        <f t="shared" ref="E19" si="2">IFERROR(LEFT(C19,1)*1,"")</f>
        <v/>
      </c>
      <c r="F19" s="12">
        <f t="shared" ref="F19" si="3">IFERROR(D19*E19,0)</f>
        <v>0</v>
      </c>
    </row>
    <row r="20" spans="1:6">
      <c r="A20" s="9">
        <v>3</v>
      </c>
      <c r="B20" s="22" t="s">
        <v>65</v>
      </c>
      <c r="C20" s="20"/>
      <c r="D20" s="12">
        <v>25</v>
      </c>
      <c r="E20" s="12" t="str">
        <f t="shared" si="0"/>
        <v/>
      </c>
      <c r="F20" s="12">
        <f t="shared" si="1"/>
        <v>0</v>
      </c>
    </row>
    <row r="21" spans="1:6">
      <c r="A21" s="9">
        <v>4</v>
      </c>
      <c r="B21" s="22" t="s">
        <v>66</v>
      </c>
      <c r="C21" s="20"/>
      <c r="D21" s="12">
        <v>15</v>
      </c>
      <c r="E21" s="12" t="str">
        <f t="shared" si="0"/>
        <v/>
      </c>
      <c r="F21" s="12">
        <f t="shared" si="1"/>
        <v>0</v>
      </c>
    </row>
    <row r="22" spans="1:6">
      <c r="A22" s="9">
        <v>5</v>
      </c>
      <c r="B22" s="10" t="s">
        <v>67</v>
      </c>
      <c r="C22" s="41"/>
      <c r="D22" s="12">
        <v>15</v>
      </c>
      <c r="E22" s="12" t="str">
        <f t="shared" si="0"/>
        <v/>
      </c>
      <c r="F22" s="12">
        <f t="shared" si="1"/>
        <v>0</v>
      </c>
    </row>
    <row r="23" spans="1:6">
      <c r="A23" s="9">
        <v>6</v>
      </c>
      <c r="B23" s="22" t="s">
        <v>68</v>
      </c>
      <c r="C23" s="41"/>
      <c r="D23" s="12">
        <v>10</v>
      </c>
      <c r="E23" s="12" t="str">
        <f t="shared" si="0"/>
        <v/>
      </c>
      <c r="F23" s="12">
        <f t="shared" si="1"/>
        <v>0</v>
      </c>
    </row>
    <row r="24" spans="1:6">
      <c r="A24" s="31"/>
      <c r="B24" s="31" t="s">
        <v>22</v>
      </c>
      <c r="C24" s="13">
        <f>SUM(C18:C22)</f>
        <v>0</v>
      </c>
      <c r="D24" s="47">
        <f ca="1">SUM(INDIRECT("d18:d"&amp;ROW()-1))</f>
        <v>120</v>
      </c>
      <c r="E24" s="14">
        <f ca="1">SUM(INDIRECT("e17:e"&amp;ROW()-1))</f>
        <v>0</v>
      </c>
      <c r="F24" s="14">
        <f ca="1">SUM(INDIRECT("F18:F"&amp;ROW()-1))</f>
        <v>0</v>
      </c>
    </row>
    <row r="26" spans="1:6" ht="18" customHeight="1">
      <c r="A26" s="32" t="s">
        <v>23</v>
      </c>
      <c r="B26" s="32"/>
      <c r="C26" s="2"/>
      <c r="D26" s="2"/>
      <c r="E26" s="2"/>
      <c r="F26" s="42">
        <v>0.2</v>
      </c>
    </row>
    <row r="27" spans="1:6">
      <c r="A27" s="9">
        <f>MAX(A18:A25)+1</f>
        <v>7</v>
      </c>
      <c r="B27" s="10" t="s">
        <v>24</v>
      </c>
      <c r="C27" s="20"/>
      <c r="D27" s="12">
        <v>30</v>
      </c>
      <c r="E27" s="12" t="str">
        <f>IFERROR(LEFT(C27,1)*1,"")</f>
        <v/>
      </c>
      <c r="F27" s="12">
        <f>IFERROR(D27*E27,0)</f>
        <v>0</v>
      </c>
    </row>
    <row r="28" spans="1:6">
      <c r="A28" s="9">
        <f>A27+1</f>
        <v>8</v>
      </c>
      <c r="B28" s="10" t="s">
        <v>25</v>
      </c>
      <c r="C28" s="20"/>
      <c r="D28" s="12">
        <v>25</v>
      </c>
      <c r="E28" s="12" t="str">
        <f>IFERROR(LEFT(C28,1)*1,"")</f>
        <v/>
      </c>
      <c r="F28" s="12">
        <f>IFERROR(D28*E28,0)</f>
        <v>0</v>
      </c>
    </row>
    <row r="29" spans="1:6">
      <c r="A29" s="9">
        <f t="shared" ref="A29:A31" si="4">A28+1</f>
        <v>9</v>
      </c>
      <c r="B29" s="10" t="s">
        <v>26</v>
      </c>
      <c r="C29" s="20"/>
      <c r="D29" s="12">
        <v>15</v>
      </c>
      <c r="E29" s="12" t="str">
        <f>IFERROR(LEFT(C29,1)*1,"")</f>
        <v/>
      </c>
      <c r="F29" s="12">
        <f>IFERROR(D29*E29,0)</f>
        <v>0</v>
      </c>
    </row>
    <row r="30" spans="1:6">
      <c r="A30" s="9">
        <f t="shared" si="4"/>
        <v>10</v>
      </c>
      <c r="B30" s="10" t="s">
        <v>27</v>
      </c>
      <c r="C30" s="20"/>
      <c r="D30" s="12">
        <v>15</v>
      </c>
      <c r="E30" s="12" t="str">
        <f>IFERROR(LEFT(C30,1)*1,"")</f>
        <v/>
      </c>
      <c r="F30" s="12">
        <f>IFERROR(D30*E30,0)</f>
        <v>0</v>
      </c>
    </row>
    <row r="31" spans="1:6">
      <c r="A31" s="9">
        <f t="shared" si="4"/>
        <v>11</v>
      </c>
      <c r="B31" s="10" t="s">
        <v>28</v>
      </c>
      <c r="C31" s="20"/>
      <c r="D31" s="12">
        <v>15</v>
      </c>
      <c r="E31" s="12" t="str">
        <f>IFERROR(LEFT(C31,1)*1,"")</f>
        <v/>
      </c>
      <c r="F31" s="12">
        <f>IFERROR(D31*E31,0)</f>
        <v>0</v>
      </c>
    </row>
    <row r="32" spans="1:6">
      <c r="A32" s="30"/>
      <c r="B32" s="1" t="s">
        <v>29</v>
      </c>
      <c r="C32" s="13">
        <f>SUM(C26:C30)</f>
        <v>0</v>
      </c>
      <c r="D32" s="47">
        <f ca="1">SUM(INDIRECT("d27:d"&amp;ROW()-1))</f>
        <v>100</v>
      </c>
      <c r="E32" s="14">
        <f ca="1">SUM(INDIRECT("e26:e"&amp;ROW()-1))</f>
        <v>0</v>
      </c>
      <c r="F32" s="14">
        <f ca="1">SUM(INDIRECT("F27:F"&amp;ROW()-1))</f>
        <v>0</v>
      </c>
    </row>
    <row r="34" spans="1:8" ht="18" customHeight="1">
      <c r="A34" s="32" t="s">
        <v>30</v>
      </c>
      <c r="B34" s="32"/>
      <c r="C34" s="2"/>
      <c r="D34" s="2"/>
      <c r="E34" s="2"/>
      <c r="F34" s="42">
        <v>0.2</v>
      </c>
    </row>
    <row r="35" spans="1:8">
      <c r="A35" s="9">
        <f>MAX(A27:A33)</f>
        <v>11</v>
      </c>
      <c r="B35" s="10" t="s">
        <v>31</v>
      </c>
      <c r="C35" s="20"/>
      <c r="D35" s="12">
        <v>25</v>
      </c>
      <c r="E35" s="12" t="str">
        <f>IFERROR(LEFT(C35,1)*1,"")</f>
        <v/>
      </c>
      <c r="F35" s="12">
        <f>IFERROR(D35*E35,0)</f>
        <v>0</v>
      </c>
    </row>
    <row r="36" spans="1:8">
      <c r="A36" s="9">
        <f>A35+1</f>
        <v>12</v>
      </c>
      <c r="B36" s="10" t="s">
        <v>32</v>
      </c>
      <c r="C36" s="20"/>
      <c r="D36" s="12">
        <v>25</v>
      </c>
      <c r="E36" s="12" t="str">
        <f>IFERROR(LEFT(C36,1)*1,"")</f>
        <v/>
      </c>
      <c r="F36" s="12">
        <f>IFERROR(D36*E36,0)</f>
        <v>0</v>
      </c>
    </row>
    <row r="37" spans="1:8">
      <c r="A37" s="9">
        <f t="shared" ref="A37:A39" si="5">A36+1</f>
        <v>13</v>
      </c>
      <c r="B37" s="10" t="s">
        <v>33</v>
      </c>
      <c r="C37" s="20"/>
      <c r="D37" s="12">
        <v>20</v>
      </c>
      <c r="E37" s="12" t="str">
        <f>IFERROR(LEFT(C37,1)*1,"")</f>
        <v/>
      </c>
      <c r="F37" s="12">
        <f>IFERROR(D37*E37,0)</f>
        <v>0</v>
      </c>
    </row>
    <row r="38" spans="1:8">
      <c r="A38" s="9">
        <f t="shared" si="5"/>
        <v>14</v>
      </c>
      <c r="B38" s="10" t="s">
        <v>34</v>
      </c>
      <c r="C38" s="20"/>
      <c r="D38" s="12">
        <v>15</v>
      </c>
      <c r="E38" s="12" t="str">
        <f>IFERROR(LEFT(C38,1)*1,"")</f>
        <v/>
      </c>
      <c r="F38" s="12">
        <f>IFERROR(D38*E38,0)</f>
        <v>0</v>
      </c>
    </row>
    <row r="39" spans="1:8">
      <c r="A39" s="9">
        <f t="shared" si="5"/>
        <v>15</v>
      </c>
      <c r="B39" s="10" t="s">
        <v>35</v>
      </c>
      <c r="C39" s="20"/>
      <c r="D39" s="12">
        <v>15</v>
      </c>
      <c r="E39" s="12" t="str">
        <f>IFERROR(LEFT(C39,1)*1,"")</f>
        <v/>
      </c>
      <c r="F39" s="12">
        <f>IFERROR(D39*E39,0)</f>
        <v>0</v>
      </c>
    </row>
    <row r="40" spans="1:8">
      <c r="A40" s="30"/>
      <c r="B40" s="1" t="s">
        <v>36</v>
      </c>
      <c r="C40" s="13">
        <f>SUM(C34:C38)</f>
        <v>0</v>
      </c>
      <c r="D40" s="47">
        <f ca="1">SUM(INDIRECT("d35:d"&amp;ROW()-1))</f>
        <v>100</v>
      </c>
      <c r="E40" s="14">
        <f ca="1">SUM(INDIRECT("e34:e"&amp;ROW()-1))</f>
        <v>0</v>
      </c>
      <c r="F40" s="14">
        <f ca="1">SUM(INDIRECT("F35:F"&amp;ROW()-1))</f>
        <v>0</v>
      </c>
    </row>
    <row r="42" spans="1:8" ht="18" customHeight="1">
      <c r="A42" s="32" t="s">
        <v>37</v>
      </c>
      <c r="B42" s="32"/>
      <c r="C42" s="2"/>
      <c r="D42" s="2"/>
      <c r="E42" s="2"/>
      <c r="F42" s="42">
        <v>0.1</v>
      </c>
    </row>
    <row r="43" spans="1:8">
      <c r="A43" s="9">
        <f>MAX(A35:A41)+1</f>
        <v>16</v>
      </c>
      <c r="B43" s="10" t="s">
        <v>38</v>
      </c>
      <c r="C43" s="20"/>
      <c r="D43" s="12">
        <v>35</v>
      </c>
      <c r="E43" s="12" t="str">
        <f>IFERROR(LEFT(C43,1)*1,"")</f>
        <v/>
      </c>
      <c r="F43" s="12">
        <f>IFERROR(D43*E43,0)</f>
        <v>0</v>
      </c>
      <c r="H43" s="43"/>
    </row>
    <row r="44" spans="1:8">
      <c r="A44" s="9">
        <f>A43+1</f>
        <v>17</v>
      </c>
      <c r="B44" s="10" t="s">
        <v>39</v>
      </c>
      <c r="C44" s="20"/>
      <c r="D44" s="12">
        <v>25</v>
      </c>
      <c r="E44" s="12" t="str">
        <f>IFERROR(LEFT(C44,1)*1,"")</f>
        <v/>
      </c>
      <c r="F44" s="12">
        <f>IFERROR(D44*E44,0)</f>
        <v>0</v>
      </c>
    </row>
    <row r="45" spans="1:8">
      <c r="A45" s="9">
        <f t="shared" ref="A45:A46" si="6">A44+1</f>
        <v>18</v>
      </c>
      <c r="B45" s="10" t="s">
        <v>40</v>
      </c>
      <c r="C45" s="20"/>
      <c r="D45" s="12">
        <v>25</v>
      </c>
      <c r="E45" s="12" t="str">
        <f>IFERROR(LEFT(C45,1)*1,"")</f>
        <v/>
      </c>
      <c r="F45" s="12">
        <f>IFERROR(D45*E45,0)</f>
        <v>0</v>
      </c>
    </row>
    <row r="46" spans="1:8">
      <c r="A46" s="9">
        <f t="shared" si="6"/>
        <v>19</v>
      </c>
      <c r="B46" s="10" t="s">
        <v>41</v>
      </c>
      <c r="C46" s="20"/>
      <c r="D46" s="12">
        <v>15</v>
      </c>
      <c r="E46" s="12" t="str">
        <f>IFERROR(LEFT(C46,1)*1,"")</f>
        <v/>
      </c>
      <c r="F46" s="12">
        <f>IFERROR(D46*E46,0)</f>
        <v>0</v>
      </c>
    </row>
    <row r="47" spans="1:8">
      <c r="B47" s="1" t="s">
        <v>42</v>
      </c>
      <c r="C47" s="13">
        <f>SUM(C41:C45)</f>
        <v>0</v>
      </c>
      <c r="D47" s="47">
        <f ca="1">SUM(INDIRECT("d43:d"&amp;ROW()-1))</f>
        <v>100</v>
      </c>
      <c r="E47" s="14">
        <f ca="1">SUM(INDIRECT("e42:e"&amp;ROW()-1))</f>
        <v>0</v>
      </c>
      <c r="F47" s="14">
        <f ca="1">SUM(INDIRECT("F43:F"&amp;ROW()-1))</f>
        <v>0</v>
      </c>
    </row>
    <row r="49" spans="1:8" ht="18" hidden="1" customHeight="1">
      <c r="A49" s="32" t="s">
        <v>43</v>
      </c>
      <c r="B49" s="32"/>
      <c r="C49" s="2"/>
      <c r="D49" s="2"/>
      <c r="E49" s="2"/>
      <c r="F49" s="42">
        <v>0.1</v>
      </c>
    </row>
    <row r="50" spans="1:8" hidden="1">
      <c r="A50" s="9">
        <f>MAX(A43:A48)+1</f>
        <v>20</v>
      </c>
      <c r="B50" s="10" t="s">
        <v>44</v>
      </c>
      <c r="C50" s="20"/>
      <c r="D50" s="12">
        <v>35</v>
      </c>
      <c r="E50" s="12" t="str">
        <f>IFERROR(LEFT(C50,1)*1,"")</f>
        <v/>
      </c>
      <c r="F50" s="12">
        <f>IFERROR(D50*E50,0)</f>
        <v>0</v>
      </c>
    </row>
    <row r="51" spans="1:8" hidden="1">
      <c r="A51" s="9">
        <f>A50+1</f>
        <v>21</v>
      </c>
      <c r="B51" s="10" t="s">
        <v>45</v>
      </c>
      <c r="C51" s="20"/>
      <c r="D51" s="12">
        <v>25</v>
      </c>
      <c r="E51" s="12" t="str">
        <f>IFERROR(LEFT(C51,1)*1,"")</f>
        <v/>
      </c>
      <c r="F51" s="12">
        <f>IFERROR(D51*E51,0)</f>
        <v>0</v>
      </c>
    </row>
    <row r="52" spans="1:8" hidden="1">
      <c r="A52" s="9">
        <f>A51+1</f>
        <v>22</v>
      </c>
      <c r="B52" s="10" t="s">
        <v>46</v>
      </c>
      <c r="C52" s="20"/>
      <c r="D52" s="12">
        <v>25</v>
      </c>
      <c r="E52" s="12" t="str">
        <f>IFERROR(LEFT(C52,1)*1,"")</f>
        <v/>
      </c>
      <c r="F52" s="12">
        <f>IFERROR(D52*E52,0)</f>
        <v>0</v>
      </c>
    </row>
    <row r="53" spans="1:8" hidden="1">
      <c r="A53" s="9">
        <f t="shared" ref="A53:A54" si="7">A52+1</f>
        <v>23</v>
      </c>
      <c r="B53" s="10" t="s">
        <v>47</v>
      </c>
      <c r="C53" s="20"/>
      <c r="D53" s="12">
        <v>20</v>
      </c>
      <c r="E53" s="12" t="str">
        <f>IFERROR(LEFT(C53,1)*1,"")</f>
        <v/>
      </c>
      <c r="F53" s="12">
        <f>IFERROR(D53*E53,0)</f>
        <v>0</v>
      </c>
    </row>
    <row r="54" spans="1:8" hidden="1">
      <c r="A54" s="9">
        <f t="shared" si="7"/>
        <v>24</v>
      </c>
      <c r="B54" s="10" t="s">
        <v>48</v>
      </c>
      <c r="C54" s="20"/>
      <c r="D54" s="12">
        <v>15</v>
      </c>
      <c r="E54" s="12" t="str">
        <f>IFERROR(LEFT(C54,1)*1,"")</f>
        <v/>
      </c>
      <c r="F54" s="12">
        <f>IFERROR(D54*E54,0)</f>
        <v>0</v>
      </c>
    </row>
    <row r="55" spans="1:8" hidden="1">
      <c r="B55" s="1" t="s">
        <v>49</v>
      </c>
      <c r="C55" s="13">
        <f>SUM(C49:C53)</f>
        <v>0</v>
      </c>
      <c r="D55" s="47">
        <f ca="1">SUM(INDIRECT("d50:d"&amp;ROW()-1))</f>
        <v>120</v>
      </c>
      <c r="E55" s="14">
        <f ca="1">SUM(INDIRECT("e49:e"&amp;ROW()-1))</f>
        <v>0</v>
      </c>
      <c r="F55" s="14">
        <f ca="1">SUM(INDIRECT("F50:F"&amp;ROW()-1))</f>
        <v>0</v>
      </c>
    </row>
    <row r="57" spans="1:8" ht="18" hidden="1" customHeight="1">
      <c r="A57" s="32" t="s">
        <v>50</v>
      </c>
      <c r="B57" s="32"/>
      <c r="C57" s="2"/>
      <c r="D57" s="2"/>
      <c r="E57" s="2"/>
      <c r="F57" s="2"/>
    </row>
    <row r="58" spans="1:8" hidden="1">
      <c r="A58" s="9">
        <f>MAX(A50:A56)+1</f>
        <v>25</v>
      </c>
      <c r="B58" s="10" t="s">
        <v>51</v>
      </c>
      <c r="C58" s="20"/>
      <c r="D58" s="12">
        <v>25</v>
      </c>
      <c r="E58" s="12" t="str">
        <f>IFERROR(LEFT(C58,1)*1,"")</f>
        <v/>
      </c>
      <c r="F58" s="12">
        <f>IFERROR(D58*E58,0)</f>
        <v>0</v>
      </c>
    </row>
    <row r="59" spans="1:8" hidden="1">
      <c r="A59" s="9">
        <f>A58+1</f>
        <v>26</v>
      </c>
      <c r="B59" s="10" t="s">
        <v>52</v>
      </c>
      <c r="C59" s="20"/>
      <c r="D59" s="12">
        <v>25</v>
      </c>
      <c r="E59" s="12" t="str">
        <f>IFERROR(LEFT(C59,1)*1,"")</f>
        <v/>
      </c>
      <c r="F59" s="12">
        <f>IFERROR(D59*E59,0)</f>
        <v>0</v>
      </c>
    </row>
    <row r="60" spans="1:8" hidden="1">
      <c r="A60" s="9">
        <f t="shared" ref="A60:A61" si="8">A59+1</f>
        <v>27</v>
      </c>
      <c r="B60" s="10" t="s">
        <v>53</v>
      </c>
      <c r="C60" s="20"/>
      <c r="D60" s="12">
        <v>15</v>
      </c>
      <c r="E60" s="12" t="str">
        <f>IFERROR(LEFT(C60,1)*1,"")</f>
        <v/>
      </c>
      <c r="F60" s="12">
        <f>IFERROR(D60*E60,0)</f>
        <v>0</v>
      </c>
    </row>
    <row r="61" spans="1:8" hidden="1">
      <c r="A61" s="9">
        <f t="shared" si="8"/>
        <v>28</v>
      </c>
      <c r="B61" s="10" t="s">
        <v>54</v>
      </c>
      <c r="C61" s="20"/>
      <c r="D61" s="12">
        <v>15</v>
      </c>
      <c r="E61" s="12" t="str">
        <f>IFERROR(LEFT(C61,1)*1,"")</f>
        <v/>
      </c>
      <c r="F61" s="12">
        <f>IFERROR(D61*E61,0)</f>
        <v>0</v>
      </c>
    </row>
    <row r="62" spans="1:8" hidden="1">
      <c r="B62" s="1" t="s">
        <v>55</v>
      </c>
      <c r="C62" s="13">
        <f>SUM(C56:C60)</f>
        <v>0</v>
      </c>
      <c r="D62" s="14"/>
      <c r="E62" s="14">
        <f ca="1">SUM(INDIRECT("e57:e"&amp;ROW()-1))</f>
        <v>0</v>
      </c>
      <c r="F62" s="14">
        <f ca="1">SUM(INDIRECT("F57:F"&amp;ROW()-1))</f>
        <v>0</v>
      </c>
    </row>
    <row r="63" spans="1:8">
      <c r="B63" s="45" t="s">
        <v>7</v>
      </c>
      <c r="F63" s="46">
        <f ca="1">F24*F17+F32*F26+F40*F34+F47*F42+F55*F49</f>
        <v>0</v>
      </c>
      <c r="G63" t="str">
        <f ca="1">"/ "&amp;H63</f>
        <v>/ 440</v>
      </c>
      <c r="H63" s="48">
        <f ca="1">(D24*F17+D32*F26+D40*F34+D47*F42+D55*F49)*4</f>
        <v>440</v>
      </c>
    </row>
    <row r="65" spans="1:4">
      <c r="A65" s="33" t="s">
        <v>56</v>
      </c>
      <c r="B65" s="33"/>
      <c r="C65" s="33"/>
      <c r="D65" s="33"/>
    </row>
    <row r="66" spans="1:4" ht="15.75" customHeight="1">
      <c r="A66" s="15"/>
      <c r="B66" s="49" t="s">
        <v>69</v>
      </c>
      <c r="C66" s="49"/>
      <c r="D66" s="49"/>
    </row>
    <row r="67" spans="1:4" ht="15.75" customHeight="1">
      <c r="A67" s="16"/>
      <c r="B67" s="49" t="s">
        <v>70</v>
      </c>
      <c r="C67" s="49"/>
      <c r="D67" s="49"/>
    </row>
    <row r="68" spans="1:4" ht="15.75" customHeight="1">
      <c r="A68" s="17"/>
      <c r="B68" s="49" t="s">
        <v>71</v>
      </c>
      <c r="C68" s="49"/>
      <c r="D68" s="49"/>
    </row>
    <row r="69" spans="1:4" ht="15.75" customHeight="1">
      <c r="A69" s="18"/>
      <c r="B69" s="49" t="s">
        <v>72</v>
      </c>
      <c r="C69" s="49"/>
      <c r="D69" s="49"/>
    </row>
  </sheetData>
  <mergeCells count="16">
    <mergeCell ref="B7:D7"/>
    <mergeCell ref="A1:D1"/>
    <mergeCell ref="A2:D2"/>
    <mergeCell ref="B4:D4"/>
    <mergeCell ref="B5:D5"/>
    <mergeCell ref="B6:D6"/>
    <mergeCell ref="B66:D66"/>
    <mergeCell ref="B67:D67"/>
    <mergeCell ref="B68:D68"/>
    <mergeCell ref="B69:D69"/>
    <mergeCell ref="A9:D9"/>
    <mergeCell ref="A10:B10"/>
    <mergeCell ref="A11:B11"/>
    <mergeCell ref="A12:B12"/>
    <mergeCell ref="C12:D12"/>
    <mergeCell ref="A14:D14"/>
  </mergeCells>
  <conditionalFormatting sqref="C12">
    <cfRule type="expression" dxfId="4" priority="12">
      <formula>$E2=1</formula>
    </cfRule>
    <cfRule type="expression" dxfId="3" priority="13">
      <formula>$E2=2</formula>
    </cfRule>
    <cfRule type="expression" dxfId="2" priority="14">
      <formula>$E2=3</formula>
    </cfRule>
    <cfRule type="expression" dxfId="1" priority="15">
      <formula>$E2=4</formula>
    </cfRule>
    <cfRule type="expression" dxfId="0" priority="16">
      <formula>$E2=0</formula>
    </cfRule>
  </conditionalFormatting>
  <pageMargins left="0.7" right="0.7" top="0.75" bottom="0.75" header="0.3" footer="0.3"/>
  <headerFooter>
    <oddFooter>&amp;L_x000D_&amp;1#&amp;"Aptos"&amp;10&amp;K000000 INTERNE</oddFooter>
  </headerFooter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ErrorMessage="1" errorTitle="Score invalide" error="Entrez un entier de 0 à 4." xr:uid="{7F0CA349-5EB5-4D98-B28C-CC3752FC902C}">
          <x14:formula1>
            <xm:f>Balise!$D$10:$D$16</xm:f>
          </x14:formula1>
          <xm:sqref>C22</xm:sqref>
        </x14:dataValidation>
        <x14:dataValidation type="list" allowBlank="1" showErrorMessage="1" errorTitle="Score invalide" error="Entrez un entier de 0 à 4." xr:uid="{E6ABEA25-DB85-437C-BADE-2AC2020544D9}">
          <x14:formula1>
            <xm:f>Balise!$E$10:$E$16</xm:f>
          </x14:formula1>
          <xm:sqref>C23</xm:sqref>
        </x14:dataValidation>
        <x14:dataValidation type="list" allowBlank="1" showErrorMessage="1" errorTitle="Score invalide" error="Entrez un entier de 0 à 4." xr:uid="{D46F2A81-D4E9-4B75-97F9-6F4F276E4B3E}">
          <x14:formula1>
            <xm:f>Balise!$A$10:$A$16</xm:f>
          </x14:formula1>
          <xm:sqref>C19</xm:sqref>
        </x14:dataValidation>
        <x14:dataValidation type="list" allowBlank="1" showErrorMessage="1" errorTitle="Score invalide" error="Entrez un entier de 0 à 4." xr:uid="{58AEB06B-0437-445C-B5CA-8369A7E9753E}">
          <x14:formula1>
            <xm:f>Balise!$C$10:$C$16</xm:f>
          </x14:formula1>
          <xm:sqref>C20</xm:sqref>
        </x14:dataValidation>
        <x14:dataValidation type="list" allowBlank="1" showErrorMessage="1" errorTitle="Score invalide" error="Entrez un entier de 0 à 4." xr:uid="{A598BAF9-4683-42AB-9FD0-C0C6BF5D6465}">
          <x14:formula1>
            <xm:f>Balise!$A$2:$A$7</xm:f>
          </x14:formula1>
          <xm:sqref>C21</xm:sqref>
        </x14:dataValidation>
        <x14:dataValidation type="list" allowBlank="1" showInputMessage="1" showErrorMessage="1" xr:uid="{BFDB924A-208F-48ED-8AC2-0658039FDE49}">
          <x14:formula1>
            <xm:f>Balise!$A$32:$A$36</xm:f>
          </x14:formula1>
          <xm:sqref>C27</xm:sqref>
        </x14:dataValidation>
        <x14:dataValidation type="list" allowBlank="1" showInputMessage="1" showErrorMessage="1" xr:uid="{7E4F8B44-5906-4654-8659-E43DE7F1D7FB}">
          <x14:formula1>
            <xm:f>Balise!$B$32:$B$36</xm:f>
          </x14:formula1>
          <xm:sqref>C28</xm:sqref>
        </x14:dataValidation>
        <x14:dataValidation type="list" allowBlank="1" showInputMessage="1" showErrorMessage="1" xr:uid="{53492BD5-E0E8-4010-98DD-287B4625B0D4}">
          <x14:formula1>
            <xm:f>Balise!$C$32:$C$36</xm:f>
          </x14:formula1>
          <xm:sqref>C29</xm:sqref>
        </x14:dataValidation>
        <x14:dataValidation type="list" allowBlank="1" showInputMessage="1" showErrorMessage="1" xr:uid="{E6E45032-8CD0-43F8-9CD2-288F009D0B7B}">
          <x14:formula1>
            <xm:f>Balise!$D$32:$D$36</xm:f>
          </x14:formula1>
          <xm:sqref>C30</xm:sqref>
        </x14:dataValidation>
        <x14:dataValidation type="list" allowBlank="1" showInputMessage="1" showErrorMessage="1" xr:uid="{61CE69A0-A5C8-4648-8672-B85D9D6D15A8}">
          <x14:formula1>
            <xm:f>Balise!$E$32:$E$36</xm:f>
          </x14:formula1>
          <xm:sqref>C31</xm:sqref>
        </x14:dataValidation>
        <x14:dataValidation type="list" allowBlank="1" showInputMessage="1" showErrorMessage="1" xr:uid="{5D3DCFDC-DDAE-46DC-92C6-58B8330F94DE}">
          <x14:formula1>
            <xm:f>Balise!$A$39:$A$43</xm:f>
          </x14:formula1>
          <xm:sqref>C35</xm:sqref>
        </x14:dataValidation>
        <x14:dataValidation type="list" allowBlank="1" showInputMessage="1" showErrorMessage="1" xr:uid="{D4EF5790-0182-40D7-996B-0F57970C36E0}">
          <x14:formula1>
            <xm:f>Balise!$B$39:$B$43</xm:f>
          </x14:formula1>
          <xm:sqref>C36</xm:sqref>
        </x14:dataValidation>
        <x14:dataValidation type="list" allowBlank="1" showInputMessage="1" showErrorMessage="1" xr:uid="{475C2724-3F0C-4F07-9129-F529AA72A41A}">
          <x14:formula1>
            <xm:f>Balise!$C$39:$C$43</xm:f>
          </x14:formula1>
          <xm:sqref>C37</xm:sqref>
        </x14:dataValidation>
        <x14:dataValidation type="list" allowBlank="1" showInputMessage="1" showErrorMessage="1" xr:uid="{AC5775E3-FBBA-4728-B2D8-4FDB103B11F9}">
          <x14:formula1>
            <xm:f>Balise!$D$39:$D$43</xm:f>
          </x14:formula1>
          <xm:sqref>C38</xm:sqref>
        </x14:dataValidation>
        <x14:dataValidation type="list" allowBlank="1" showInputMessage="1" showErrorMessage="1" xr:uid="{F6441653-0D68-4E29-A9C8-6D696BF88446}">
          <x14:formula1>
            <xm:f>Balise!$E$39:$E$43</xm:f>
          </x14:formula1>
          <xm:sqref>C39</xm:sqref>
        </x14:dataValidation>
        <x14:dataValidation type="list" allowBlank="1" showInputMessage="1" showErrorMessage="1" xr:uid="{0486C4FF-BA10-4C29-A8A7-72A957003202}">
          <x14:formula1>
            <xm:f>Balise!$A$46:$A$50</xm:f>
          </x14:formula1>
          <xm:sqref>C43</xm:sqref>
        </x14:dataValidation>
        <x14:dataValidation type="list" allowBlank="1" showInputMessage="1" showErrorMessage="1" xr:uid="{6D28BBB5-26D2-4B59-859A-C8ACB7A7C29D}">
          <x14:formula1>
            <xm:f>Balise!$B$47:$B$50</xm:f>
          </x14:formula1>
          <xm:sqref>C44</xm:sqref>
        </x14:dataValidation>
        <x14:dataValidation type="list" allowBlank="1" showInputMessage="1" showErrorMessage="1" xr:uid="{AF70E2D0-B399-407A-9BC2-EEA5F8F5F164}">
          <x14:formula1>
            <xm:f>Balise!$C$46:$C$50</xm:f>
          </x14:formula1>
          <xm:sqref>C45</xm:sqref>
        </x14:dataValidation>
        <x14:dataValidation type="list" allowBlank="1" showInputMessage="1" showErrorMessage="1" xr:uid="{FE8C7BE4-CDD5-4E29-BEF1-297DF7D8C3FC}">
          <x14:formula1>
            <xm:f>Balise!$D$46:$D$50</xm:f>
          </x14:formula1>
          <xm:sqref>C46</xm:sqref>
        </x14:dataValidation>
        <x14:dataValidation type="list" allowBlank="1" showInputMessage="1" showErrorMessage="1" xr:uid="{CB11AD4A-1F5D-4825-8215-09D7C04BEC48}">
          <x14:formula1>
            <xm:f>Balise!$A$53:$A$57</xm:f>
          </x14:formula1>
          <xm:sqref>C50</xm:sqref>
        </x14:dataValidation>
        <x14:dataValidation type="list" allowBlank="1" showInputMessage="1" showErrorMessage="1" xr:uid="{DDD0F1F4-3EF3-49EF-8505-F7D032389844}">
          <x14:formula1>
            <xm:f>Balise!$B$53:$B$57</xm:f>
          </x14:formula1>
          <xm:sqref>C51</xm:sqref>
        </x14:dataValidation>
        <x14:dataValidation type="list" allowBlank="1" showInputMessage="1" showErrorMessage="1" xr:uid="{33FD36E6-94BF-4D3C-8115-577A0ACEF043}">
          <x14:formula1>
            <xm:f>Balise!$C$53:$C$57</xm:f>
          </x14:formula1>
          <xm:sqref>C52</xm:sqref>
        </x14:dataValidation>
        <x14:dataValidation type="list" allowBlank="1" showInputMessage="1" showErrorMessage="1" xr:uid="{7811963A-7B5E-4E64-8F15-DBAA8323C21A}">
          <x14:formula1>
            <xm:f>Balise!$D$53:$D$57</xm:f>
          </x14:formula1>
          <xm:sqref>C53</xm:sqref>
        </x14:dataValidation>
        <x14:dataValidation type="list" allowBlank="1" showInputMessage="1" showErrorMessage="1" xr:uid="{DD07B0C2-4E42-4D87-82F6-42D97CDA5770}">
          <x14:formula1>
            <xm:f>Balise!$E$53:$E$57</xm:f>
          </x14:formula1>
          <xm:sqref>C54</xm:sqref>
        </x14:dataValidation>
        <x14:dataValidation type="list" allowBlank="1" showInputMessage="1" showErrorMessage="1" xr:uid="{D20F70CA-950C-47BA-B27C-52A7EB3464D7}">
          <x14:formula1>
            <xm:f>Balise!$A$60:$A$64</xm:f>
          </x14:formula1>
          <xm:sqref>C58</xm:sqref>
        </x14:dataValidation>
        <x14:dataValidation type="list" allowBlank="1" showInputMessage="1" showErrorMessage="1" xr:uid="{66002D58-69FB-4487-AD35-41BD797F0CF1}">
          <x14:formula1>
            <xm:f>Balise!$B$60:$B$64</xm:f>
          </x14:formula1>
          <xm:sqref>C59</xm:sqref>
        </x14:dataValidation>
        <x14:dataValidation type="list" allowBlank="1" showInputMessage="1" showErrorMessage="1" xr:uid="{113B2D50-8DE2-41AE-B50E-D95B922971B3}">
          <x14:formula1>
            <xm:f>Balise!$C$60:$C$64</xm:f>
          </x14:formula1>
          <xm:sqref>C60</xm:sqref>
        </x14:dataValidation>
        <x14:dataValidation type="list" allowBlank="1" showInputMessage="1" showErrorMessage="1" xr:uid="{0A528C0E-22D7-4630-9730-CEE7A70C89BF}">
          <x14:formula1>
            <xm:f>Balise!$D$60:$D$64</xm:f>
          </x14:formula1>
          <xm:sqref>C61</xm:sqref>
        </x14:dataValidation>
        <x14:dataValidation type="list" allowBlank="1" showErrorMessage="1" errorTitle="Score invalide" error="Entrez un entier de 0 à 4." xr:uid="{EADD6BA7-C266-4600-9511-F9C6B180EF39}">
          <x14:formula1>
            <xm:f>Balise!$B$10:$B$16</xm:f>
          </x14:formula1>
          <xm:sqref>C18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FE10-66D5-42BF-B0DE-220606CADE6B}">
  <dimension ref="A1:E63"/>
  <sheetViews>
    <sheetView topLeftCell="B1" workbookViewId="0">
      <selection activeCell="E10" sqref="E10:E13"/>
    </sheetView>
  </sheetViews>
  <sheetFormatPr defaultColWidth="10.85546875" defaultRowHeight="14.25"/>
  <cols>
    <col min="1" max="5" width="50.85546875" style="34" customWidth="1"/>
    <col min="6" max="6" width="44.5703125" style="34" customWidth="1"/>
    <col min="7" max="16384" width="10.85546875" style="34"/>
  </cols>
  <sheetData>
    <row r="1" spans="1:5">
      <c r="A1" s="35" t="s">
        <v>73</v>
      </c>
    </row>
    <row r="2" spans="1:5">
      <c r="A2" s="27" t="s">
        <v>74</v>
      </c>
    </row>
    <row r="3" spans="1:5">
      <c r="A3" s="24" t="s">
        <v>75</v>
      </c>
    </row>
    <row r="4" spans="1:5">
      <c r="A4" s="24" t="s">
        <v>76</v>
      </c>
    </row>
    <row r="5" spans="1:5">
      <c r="A5" s="24" t="s">
        <v>77</v>
      </c>
    </row>
    <row r="6" spans="1:5">
      <c r="A6" s="24" t="s">
        <v>78</v>
      </c>
    </row>
    <row r="8" spans="1:5">
      <c r="A8" s="34" t="s">
        <v>79</v>
      </c>
    </row>
    <row r="9" spans="1:5" s="35" customFormat="1">
      <c r="A9" s="23" t="s">
        <v>80</v>
      </c>
      <c r="B9" s="36" t="s">
        <v>81</v>
      </c>
      <c r="C9" s="37" t="s">
        <v>82</v>
      </c>
      <c r="D9" s="37" t="s">
        <v>83</v>
      </c>
      <c r="E9" s="37" t="s">
        <v>84</v>
      </c>
    </row>
    <row r="10" spans="1:5">
      <c r="A10" s="27" t="s">
        <v>74</v>
      </c>
      <c r="B10" s="27" t="s">
        <v>74</v>
      </c>
      <c r="C10" s="26" t="s">
        <v>85</v>
      </c>
      <c r="D10" s="27" t="s">
        <v>86</v>
      </c>
      <c r="E10" s="27" t="s">
        <v>87</v>
      </c>
    </row>
    <row r="11" spans="1:5" ht="25.5">
      <c r="A11" s="25" t="s">
        <v>88</v>
      </c>
      <c r="B11" s="24" t="s">
        <v>89</v>
      </c>
      <c r="C11" s="26" t="s">
        <v>90</v>
      </c>
      <c r="D11" s="27" t="s">
        <v>91</v>
      </c>
      <c r="E11" s="27" t="s">
        <v>92</v>
      </c>
    </row>
    <row r="12" spans="1:5" ht="25.5">
      <c r="A12" s="25" t="s">
        <v>93</v>
      </c>
      <c r="B12" s="24" t="s">
        <v>94</v>
      </c>
      <c r="C12" s="26" t="s">
        <v>95</v>
      </c>
      <c r="D12" s="27" t="s">
        <v>96</v>
      </c>
      <c r="E12" s="27" t="s">
        <v>97</v>
      </c>
    </row>
    <row r="13" spans="1:5" ht="25.5">
      <c r="A13" s="25" t="s">
        <v>98</v>
      </c>
      <c r="B13" s="24" t="s">
        <v>99</v>
      </c>
      <c r="C13" s="26" t="s">
        <v>100</v>
      </c>
      <c r="D13" s="27" t="s">
        <v>101</v>
      </c>
      <c r="E13" s="27" t="s">
        <v>102</v>
      </c>
    </row>
    <row r="14" spans="1:5" ht="25.5">
      <c r="A14" s="25" t="s">
        <v>103</v>
      </c>
      <c r="B14" s="24" t="s">
        <v>104</v>
      </c>
    </row>
    <row r="15" spans="1:5">
      <c r="C15" s="29"/>
    </row>
    <row r="16" spans="1:5">
      <c r="B16" s="28"/>
      <c r="D16" s="29"/>
    </row>
    <row r="17" spans="1:5">
      <c r="B17" s="28"/>
      <c r="D17" s="26"/>
    </row>
    <row r="18" spans="1:5">
      <c r="A18" s="34" t="s">
        <v>105</v>
      </c>
      <c r="B18" s="28"/>
      <c r="D18" s="26"/>
    </row>
    <row r="19" spans="1:5" ht="15">
      <c r="A19" s="38" t="s">
        <v>106</v>
      </c>
    </row>
    <row r="20" spans="1:5">
      <c r="A20" s="24" t="s">
        <v>107</v>
      </c>
    </row>
    <row r="21" spans="1:5">
      <c r="A21" s="24" t="s">
        <v>108</v>
      </c>
    </row>
    <row r="22" spans="1:5">
      <c r="A22" s="24" t="s">
        <v>109</v>
      </c>
    </row>
    <row r="23" spans="1:5">
      <c r="A23" s="24" t="s">
        <v>110</v>
      </c>
    </row>
    <row r="27" spans="1:5">
      <c r="A27" s="34" t="s">
        <v>111</v>
      </c>
    </row>
    <row r="30" spans="1:5" ht="15">
      <c r="A30" s="39" t="s">
        <v>112</v>
      </c>
      <c r="B30" s="39"/>
      <c r="C30" s="39"/>
      <c r="D30" s="39"/>
      <c r="E30" s="39"/>
    </row>
    <row r="31" spans="1:5" ht="15">
      <c r="A31" s="40" t="s">
        <v>113</v>
      </c>
      <c r="B31" s="40" t="s">
        <v>114</v>
      </c>
      <c r="C31" s="40" t="s">
        <v>115</v>
      </c>
      <c r="D31" s="40" t="s">
        <v>116</v>
      </c>
      <c r="E31" s="40" t="s">
        <v>117</v>
      </c>
    </row>
    <row r="32" spans="1:5">
      <c r="A32" s="34" t="s">
        <v>107</v>
      </c>
      <c r="B32" s="34" t="s">
        <v>118</v>
      </c>
      <c r="C32" s="34" t="s">
        <v>119</v>
      </c>
      <c r="D32" s="34" t="s">
        <v>120</v>
      </c>
      <c r="E32" s="34" t="s">
        <v>121</v>
      </c>
    </row>
    <row r="33" spans="1:5">
      <c r="A33" s="34" t="s">
        <v>122</v>
      </c>
      <c r="B33" s="34" t="s">
        <v>123</v>
      </c>
      <c r="C33" s="34" t="s">
        <v>124</v>
      </c>
      <c r="D33" s="34" t="s">
        <v>125</v>
      </c>
      <c r="E33" s="34" t="s">
        <v>126</v>
      </c>
    </row>
    <row r="34" spans="1:5">
      <c r="A34" s="34" t="s">
        <v>127</v>
      </c>
      <c r="B34" s="34" t="s">
        <v>128</v>
      </c>
      <c r="C34" s="34" t="s">
        <v>129</v>
      </c>
      <c r="D34" s="34" t="s">
        <v>130</v>
      </c>
      <c r="E34" s="34" t="s">
        <v>131</v>
      </c>
    </row>
    <row r="35" spans="1:5">
      <c r="A35" s="34" t="s">
        <v>132</v>
      </c>
      <c r="B35" s="34" t="s">
        <v>133</v>
      </c>
      <c r="C35" s="34" t="s">
        <v>134</v>
      </c>
      <c r="D35" s="34" t="s">
        <v>135</v>
      </c>
      <c r="E35" s="34" t="s">
        <v>136</v>
      </c>
    </row>
    <row r="37" spans="1:5">
      <c r="A37" s="34" t="s">
        <v>137</v>
      </c>
    </row>
    <row r="38" spans="1:5" ht="15">
      <c r="A38" s="39" t="s">
        <v>138</v>
      </c>
      <c r="B38" s="39" t="s">
        <v>139</v>
      </c>
      <c r="C38" s="39" t="s">
        <v>140</v>
      </c>
      <c r="D38" s="39" t="s">
        <v>141</v>
      </c>
      <c r="E38" s="39" t="s">
        <v>142</v>
      </c>
    </row>
    <row r="39" spans="1:5" ht="15">
      <c r="A39" s="40" t="s">
        <v>143</v>
      </c>
      <c r="B39" s="40" t="s">
        <v>144</v>
      </c>
      <c r="C39" s="40" t="s">
        <v>145</v>
      </c>
      <c r="D39" s="40" t="s">
        <v>146</v>
      </c>
      <c r="E39" s="40" t="s">
        <v>147</v>
      </c>
    </row>
    <row r="40" spans="1:5">
      <c r="A40" s="34" t="s">
        <v>148</v>
      </c>
      <c r="B40" s="34" t="s">
        <v>149</v>
      </c>
      <c r="C40" s="34" t="s">
        <v>150</v>
      </c>
      <c r="D40" s="34" t="s">
        <v>151</v>
      </c>
      <c r="E40" s="34" t="s">
        <v>152</v>
      </c>
    </row>
    <row r="41" spans="1:5">
      <c r="A41" s="34" t="s">
        <v>153</v>
      </c>
      <c r="B41" s="34" t="s">
        <v>154</v>
      </c>
      <c r="C41" s="34" t="s">
        <v>155</v>
      </c>
      <c r="D41" s="34" t="s">
        <v>156</v>
      </c>
      <c r="E41" s="34" t="s">
        <v>157</v>
      </c>
    </row>
    <row r="42" spans="1:5">
      <c r="A42" s="34" t="s">
        <v>158</v>
      </c>
      <c r="B42" s="34" t="s">
        <v>159</v>
      </c>
      <c r="C42" s="34" t="s">
        <v>160</v>
      </c>
      <c r="D42" s="34" t="s">
        <v>161</v>
      </c>
      <c r="E42" s="34" t="s">
        <v>162</v>
      </c>
    </row>
    <row r="44" spans="1:5">
      <c r="A44" s="34" t="s">
        <v>163</v>
      </c>
    </row>
    <row r="45" spans="1:5">
      <c r="A45" s="34" t="s">
        <v>164</v>
      </c>
      <c r="B45" s="34" t="s">
        <v>165</v>
      </c>
      <c r="C45" s="34" t="s">
        <v>166</v>
      </c>
      <c r="D45" s="34" t="s">
        <v>167</v>
      </c>
    </row>
    <row r="46" spans="1:5" ht="15">
      <c r="A46" s="39" t="s">
        <v>168</v>
      </c>
      <c r="B46" s="39" t="s">
        <v>169</v>
      </c>
      <c r="C46" s="39" t="s">
        <v>170</v>
      </c>
      <c r="D46" s="39" t="s">
        <v>171</v>
      </c>
      <c r="E46" s="39"/>
    </row>
    <row r="47" spans="1:5" ht="15">
      <c r="A47" s="40" t="s">
        <v>172</v>
      </c>
      <c r="B47" s="40" t="s">
        <v>173</v>
      </c>
      <c r="C47" s="40" t="s">
        <v>174</v>
      </c>
      <c r="D47" s="40" t="s">
        <v>175</v>
      </c>
      <c r="E47" s="40"/>
    </row>
    <row r="48" spans="1:5">
      <c r="A48" s="34" t="s">
        <v>176</v>
      </c>
      <c r="B48" s="34" t="s">
        <v>177</v>
      </c>
      <c r="C48" s="34" t="s">
        <v>178</v>
      </c>
      <c r="D48" s="34" t="s">
        <v>179</v>
      </c>
    </row>
    <row r="49" spans="1:5">
      <c r="A49" s="34" t="s">
        <v>180</v>
      </c>
      <c r="B49" s="34" t="s">
        <v>181</v>
      </c>
      <c r="C49" s="34" t="s">
        <v>182</v>
      </c>
      <c r="D49" s="34" t="s">
        <v>183</v>
      </c>
    </row>
    <row r="51" spans="1:5">
      <c r="A51" s="34" t="s">
        <v>184</v>
      </c>
    </row>
    <row r="52" spans="1:5">
      <c r="A52" s="34" t="s">
        <v>185</v>
      </c>
      <c r="B52" s="34" t="s">
        <v>186</v>
      </c>
      <c r="C52" s="34" t="s">
        <v>187</v>
      </c>
      <c r="D52" s="34" t="s">
        <v>188</v>
      </c>
      <c r="E52" s="34" t="s">
        <v>189</v>
      </c>
    </row>
    <row r="53" spans="1:5">
      <c r="A53" s="34" t="s">
        <v>190</v>
      </c>
      <c r="B53" s="34" t="s">
        <v>191</v>
      </c>
      <c r="C53" s="34" t="s">
        <v>192</v>
      </c>
      <c r="D53" s="34" t="s">
        <v>193</v>
      </c>
      <c r="E53" s="34" t="s">
        <v>194</v>
      </c>
    </row>
    <row r="54" spans="1:5" ht="15">
      <c r="A54" s="39" t="s">
        <v>195</v>
      </c>
      <c r="B54" s="39" t="s">
        <v>196</v>
      </c>
      <c r="C54" s="39" t="s">
        <v>197</v>
      </c>
      <c r="D54" s="39" t="s">
        <v>198</v>
      </c>
      <c r="E54" s="39" t="s">
        <v>199</v>
      </c>
    </row>
    <row r="55" spans="1:5" ht="15">
      <c r="A55" s="40" t="s">
        <v>200</v>
      </c>
      <c r="B55" s="40" t="s">
        <v>201</v>
      </c>
      <c r="C55" s="40" t="s">
        <v>202</v>
      </c>
      <c r="D55" s="40" t="s">
        <v>203</v>
      </c>
      <c r="E55" s="40" t="s">
        <v>204</v>
      </c>
    </row>
    <row r="56" spans="1:5">
      <c r="A56" s="34" t="s">
        <v>205</v>
      </c>
      <c r="B56" s="34" t="s">
        <v>206</v>
      </c>
      <c r="C56" s="34" t="s">
        <v>207</v>
      </c>
      <c r="D56" s="34" t="s">
        <v>208</v>
      </c>
      <c r="E56" s="34" t="s">
        <v>209</v>
      </c>
    </row>
    <row r="58" spans="1:5">
      <c r="A58" s="34" t="s">
        <v>210</v>
      </c>
    </row>
    <row r="59" spans="1:5">
      <c r="A59" s="34" t="s">
        <v>211</v>
      </c>
      <c r="B59" s="34" t="s">
        <v>212</v>
      </c>
      <c r="C59" s="34" t="s">
        <v>213</v>
      </c>
      <c r="D59" s="34" t="s">
        <v>214</v>
      </c>
    </row>
    <row r="60" spans="1:5">
      <c r="A60" s="34" t="s">
        <v>215</v>
      </c>
      <c r="B60" s="34" t="s">
        <v>216</v>
      </c>
      <c r="C60" s="34" t="s">
        <v>217</v>
      </c>
      <c r="D60" s="34" t="s">
        <v>218</v>
      </c>
    </row>
    <row r="61" spans="1:5">
      <c r="A61" s="34" t="s">
        <v>219</v>
      </c>
      <c r="B61" s="34" t="s">
        <v>220</v>
      </c>
      <c r="C61" s="34" t="s">
        <v>221</v>
      </c>
      <c r="D61" s="34" t="s">
        <v>222</v>
      </c>
    </row>
    <row r="62" spans="1:5" ht="15">
      <c r="A62" s="39" t="s">
        <v>223</v>
      </c>
      <c r="B62" s="39" t="s">
        <v>224</v>
      </c>
      <c r="C62" s="39" t="s">
        <v>225</v>
      </c>
      <c r="D62" s="39" t="s">
        <v>226</v>
      </c>
      <c r="E62" s="39"/>
    </row>
    <row r="63" spans="1:5" ht="15">
      <c r="A63" s="40" t="s">
        <v>227</v>
      </c>
      <c r="B63" s="40" t="s">
        <v>228</v>
      </c>
      <c r="C63" s="40" t="s">
        <v>229</v>
      </c>
      <c r="D63" s="40" t="s">
        <v>230</v>
      </c>
      <c r="E63" s="40"/>
    </row>
  </sheetData>
  <pageMargins left="0.7" right="0.7" top="0.75" bottom="0.75" header="0.3" footer="0.3"/>
  <headerFooter>
    <oddFooter>&amp;L_x000D_&amp;1#&amp;"Aptos"&amp;10&amp;K000000 INTERNE</oddFooter>
  </headerFooter>
</worksheet>
</file>

<file path=docMetadata/LabelInfo.xml><?xml version="1.0" encoding="utf-8"?>
<clbl:labelList xmlns:clbl="http://schemas.microsoft.com/office/2020/mipLabelMetadata">
  <clbl:label id="{baa22a13-b797-4dc9-bd29-1ed126752627}" enabled="1" method="Standard" siteId="{bb35297f-d33e-4877-bf86-05c24bfd97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Deschenes</cp:lastModifiedBy>
  <cp:revision>0</cp:revision>
  <dcterms:created xsi:type="dcterms:W3CDTF">2026-06-25T14:23:50Z</dcterms:created>
  <dcterms:modified xsi:type="dcterms:W3CDTF">2026-08-17T20:23:30Z</dcterms:modified>
  <cp:category/>
  <cp:contentStatus/>
</cp:coreProperties>
</file>